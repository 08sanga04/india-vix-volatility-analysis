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4cbe73f0a0a11b/Desktop/"/>
    </mc:Choice>
  </mc:AlternateContent>
  <xr:revisionPtr revIDLastSave="204" documentId="13_ncr:1_{93DB759C-31B0-4C09-AE3D-22387443861C}" xr6:coauthVersionLast="47" xr6:coauthVersionMax="47" xr10:uidLastSave="{FF58CC73-5BDA-4705-9610-8BF64A27A986}"/>
  <bookViews>
    <workbookView xWindow="-120" yWindow="-120" windowWidth="29040" windowHeight="15720" firstSheet="1" activeTab="3" xr2:uid="{E88C152D-AFE9-460E-8F58-6894EB7D8582}"/>
  </bookViews>
  <sheets>
    <sheet name="Sheet3" sheetId="4" state="hidden" r:id="rId1"/>
    <sheet name="Data" sheetId="1" r:id="rId2"/>
    <sheet name="Day_wise" sheetId="2" r:id="rId3"/>
    <sheet name="Analysis" sheetId="5" r:id="rId4"/>
  </sheets>
  <definedNames>
    <definedName name="_xlnm._FilterDatabase" localSheetId="1" hidden="1">Data!$A$1:$K$166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7" i="1" l="1"/>
  <c r="H167" i="1"/>
  <c r="I167" i="1"/>
  <c r="J167" i="1"/>
  <c r="K167" i="1"/>
  <c r="B168" i="1"/>
  <c r="H168" i="1"/>
  <c r="I168" i="1"/>
  <c r="J168" i="1"/>
  <c r="K168" i="1"/>
  <c r="B169" i="1"/>
  <c r="H169" i="1"/>
  <c r="I169" i="1"/>
  <c r="J169" i="1"/>
  <c r="K169" i="1"/>
  <c r="B170" i="1"/>
  <c r="H170" i="1"/>
  <c r="I170" i="1"/>
  <c r="J170" i="1"/>
  <c r="K170" i="1"/>
  <c r="B171" i="1"/>
  <c r="H171" i="1"/>
  <c r="I171" i="1"/>
  <c r="J171" i="1"/>
  <c r="K171" i="1"/>
  <c r="B172" i="1"/>
  <c r="H172" i="1"/>
  <c r="I172" i="1"/>
  <c r="J172" i="1"/>
  <c r="K172" i="1"/>
  <c r="B173" i="1"/>
  <c r="H173" i="1"/>
  <c r="I173" i="1"/>
  <c r="J173" i="1"/>
  <c r="K173" i="1"/>
  <c r="B174" i="1"/>
  <c r="H174" i="1"/>
  <c r="I174" i="1"/>
  <c r="J174" i="1"/>
  <c r="K174" i="1"/>
  <c r="B175" i="1"/>
  <c r="H175" i="1"/>
  <c r="I175" i="1"/>
  <c r="J175" i="1"/>
  <c r="K175" i="1"/>
  <c r="B176" i="1"/>
  <c r="H176" i="1"/>
  <c r="I176" i="1"/>
  <c r="J176" i="1"/>
  <c r="K176" i="1"/>
  <c r="B177" i="1"/>
  <c r="H177" i="1"/>
  <c r="I177" i="1"/>
  <c r="J177" i="1"/>
  <c r="K177" i="1"/>
  <c r="B178" i="1"/>
  <c r="H178" i="1"/>
  <c r="I178" i="1"/>
  <c r="J178" i="1"/>
  <c r="K178" i="1"/>
  <c r="B179" i="1"/>
  <c r="H179" i="1"/>
  <c r="I179" i="1"/>
  <c r="J179" i="1"/>
  <c r="K179" i="1"/>
  <c r="B180" i="1"/>
  <c r="H180" i="1"/>
  <c r="I180" i="1"/>
  <c r="J180" i="1"/>
  <c r="K180" i="1"/>
  <c r="B181" i="1"/>
  <c r="H181" i="1"/>
  <c r="I181" i="1"/>
  <c r="J181" i="1"/>
  <c r="K181" i="1"/>
  <c r="B182" i="1"/>
  <c r="H182" i="1"/>
  <c r="I182" i="1"/>
  <c r="J182" i="1"/>
  <c r="K182" i="1"/>
  <c r="B183" i="1"/>
  <c r="H183" i="1"/>
  <c r="I183" i="1"/>
  <c r="J183" i="1"/>
  <c r="K183" i="1"/>
  <c r="B184" i="1"/>
  <c r="H184" i="1"/>
  <c r="I184" i="1"/>
  <c r="J184" i="1"/>
  <c r="K184" i="1"/>
  <c r="B185" i="1"/>
  <c r="H185" i="1"/>
  <c r="I185" i="1"/>
  <c r="J185" i="1"/>
  <c r="K185" i="1"/>
  <c r="B186" i="1"/>
  <c r="H186" i="1"/>
  <c r="I186" i="1"/>
  <c r="J186" i="1"/>
  <c r="K186" i="1"/>
  <c r="B187" i="1"/>
  <c r="H187" i="1"/>
  <c r="I187" i="1"/>
  <c r="J187" i="1"/>
  <c r="K187" i="1"/>
  <c r="B188" i="1"/>
  <c r="H188" i="1"/>
  <c r="I188" i="1"/>
  <c r="J188" i="1"/>
  <c r="K188" i="1"/>
  <c r="B189" i="1"/>
  <c r="H189" i="1"/>
  <c r="I189" i="1"/>
  <c r="J189" i="1"/>
  <c r="K189" i="1"/>
  <c r="B190" i="1"/>
  <c r="H190" i="1"/>
  <c r="I190" i="1"/>
  <c r="J190" i="1"/>
  <c r="K190" i="1"/>
  <c r="B191" i="1"/>
  <c r="H191" i="1"/>
  <c r="I191" i="1"/>
  <c r="J191" i="1"/>
  <c r="K191" i="1"/>
  <c r="B192" i="1"/>
  <c r="H192" i="1"/>
  <c r="I192" i="1"/>
  <c r="J192" i="1"/>
  <c r="K192" i="1"/>
  <c r="B193" i="1"/>
  <c r="H193" i="1"/>
  <c r="I193" i="1"/>
  <c r="J193" i="1"/>
  <c r="K193" i="1"/>
  <c r="B194" i="1"/>
  <c r="H194" i="1"/>
  <c r="I194" i="1"/>
  <c r="J194" i="1"/>
  <c r="K194" i="1"/>
  <c r="B195" i="1"/>
  <c r="H195" i="1"/>
  <c r="I195" i="1"/>
  <c r="J195" i="1"/>
  <c r="K195" i="1"/>
  <c r="B196" i="1"/>
  <c r="H196" i="1"/>
  <c r="I196" i="1"/>
  <c r="J196" i="1"/>
  <c r="K196" i="1"/>
  <c r="B197" i="1"/>
  <c r="H197" i="1"/>
  <c r="I197" i="1"/>
  <c r="J197" i="1"/>
  <c r="K197" i="1"/>
  <c r="B198" i="1"/>
  <c r="H198" i="1"/>
  <c r="I198" i="1"/>
  <c r="J198" i="1"/>
  <c r="K198" i="1"/>
  <c r="B199" i="1"/>
  <c r="H199" i="1"/>
  <c r="I199" i="1"/>
  <c r="J199" i="1"/>
  <c r="K199" i="1"/>
  <c r="B200" i="1"/>
  <c r="H200" i="1"/>
  <c r="I200" i="1"/>
  <c r="J200" i="1"/>
  <c r="K200" i="1"/>
  <c r="B201" i="1"/>
  <c r="H201" i="1"/>
  <c r="I201" i="1"/>
  <c r="J201" i="1"/>
  <c r="K201" i="1"/>
  <c r="B202" i="1"/>
  <c r="H202" i="1"/>
  <c r="I202" i="1"/>
  <c r="J202" i="1"/>
  <c r="K202" i="1"/>
  <c r="B203" i="1"/>
  <c r="H203" i="1"/>
  <c r="I203" i="1"/>
  <c r="J203" i="1"/>
  <c r="K203" i="1"/>
  <c r="B204" i="1"/>
  <c r="H204" i="1"/>
  <c r="I204" i="1"/>
  <c r="J204" i="1"/>
  <c r="K204" i="1"/>
  <c r="B205" i="1"/>
  <c r="H205" i="1"/>
  <c r="I205" i="1"/>
  <c r="J205" i="1"/>
  <c r="K205" i="1"/>
  <c r="B206" i="1"/>
  <c r="H206" i="1"/>
  <c r="I206" i="1"/>
  <c r="J206" i="1"/>
  <c r="K206" i="1"/>
  <c r="B207" i="1"/>
  <c r="H207" i="1"/>
  <c r="I207" i="1"/>
  <c r="J207" i="1"/>
  <c r="K207" i="1"/>
  <c r="B208" i="1"/>
  <c r="H208" i="1"/>
  <c r="I208" i="1"/>
  <c r="J208" i="1"/>
  <c r="K208" i="1"/>
  <c r="B209" i="1"/>
  <c r="H209" i="1"/>
  <c r="I209" i="1"/>
  <c r="J209" i="1"/>
  <c r="K209" i="1"/>
  <c r="B210" i="1"/>
  <c r="H210" i="1"/>
  <c r="I210" i="1"/>
  <c r="J210" i="1"/>
  <c r="K210" i="1"/>
  <c r="B211" i="1"/>
  <c r="H211" i="1"/>
  <c r="I211" i="1"/>
  <c r="J211" i="1"/>
  <c r="K211" i="1"/>
  <c r="B212" i="1"/>
  <c r="H212" i="1"/>
  <c r="I212" i="1"/>
  <c r="J212" i="1"/>
  <c r="K212" i="1"/>
  <c r="B213" i="1"/>
  <c r="H213" i="1"/>
  <c r="I213" i="1"/>
  <c r="J213" i="1"/>
  <c r="K213" i="1"/>
  <c r="B214" i="1"/>
  <c r="H214" i="1"/>
  <c r="I214" i="1"/>
  <c r="J214" i="1"/>
  <c r="K214" i="1"/>
  <c r="B215" i="1"/>
  <c r="H215" i="1"/>
  <c r="I215" i="1"/>
  <c r="J215" i="1"/>
  <c r="K215" i="1"/>
  <c r="B216" i="1"/>
  <c r="H216" i="1"/>
  <c r="I216" i="1"/>
  <c r="J216" i="1"/>
  <c r="K216" i="1"/>
  <c r="B217" i="1"/>
  <c r="H217" i="1"/>
  <c r="I217" i="1"/>
  <c r="J217" i="1"/>
  <c r="K217" i="1"/>
  <c r="B218" i="1"/>
  <c r="H218" i="1"/>
  <c r="I218" i="1"/>
  <c r="J218" i="1"/>
  <c r="K218" i="1"/>
  <c r="B219" i="1"/>
  <c r="H219" i="1"/>
  <c r="I219" i="1"/>
  <c r="J219" i="1"/>
  <c r="K219" i="1"/>
  <c r="B220" i="1"/>
  <c r="H220" i="1"/>
  <c r="I220" i="1"/>
  <c r="J220" i="1"/>
  <c r="K220" i="1"/>
  <c r="B221" i="1"/>
  <c r="H221" i="1"/>
  <c r="I221" i="1"/>
  <c r="J221" i="1"/>
  <c r="K221" i="1"/>
  <c r="B222" i="1"/>
  <c r="H222" i="1"/>
  <c r="I222" i="1"/>
  <c r="J222" i="1"/>
  <c r="K222" i="1"/>
  <c r="B223" i="1"/>
  <c r="H223" i="1"/>
  <c r="I223" i="1"/>
  <c r="J223" i="1"/>
  <c r="K223" i="1"/>
  <c r="B224" i="1"/>
  <c r="H224" i="1"/>
  <c r="I224" i="1"/>
  <c r="J224" i="1"/>
  <c r="K224" i="1"/>
  <c r="B225" i="1"/>
  <c r="H225" i="1"/>
  <c r="I225" i="1"/>
  <c r="J225" i="1"/>
  <c r="K225" i="1"/>
  <c r="B226" i="1"/>
  <c r="H226" i="1"/>
  <c r="I226" i="1"/>
  <c r="J226" i="1"/>
  <c r="K226" i="1"/>
  <c r="B227" i="1"/>
  <c r="H227" i="1"/>
  <c r="I227" i="1"/>
  <c r="J227" i="1"/>
  <c r="K227" i="1"/>
  <c r="B228" i="1"/>
  <c r="H228" i="1"/>
  <c r="I228" i="1"/>
  <c r="J228" i="1"/>
  <c r="K228" i="1"/>
  <c r="B229" i="1"/>
  <c r="H229" i="1"/>
  <c r="I229" i="1"/>
  <c r="J229" i="1"/>
  <c r="K229" i="1"/>
  <c r="B230" i="1"/>
  <c r="H230" i="1"/>
  <c r="I230" i="1"/>
  <c r="J230" i="1"/>
  <c r="K230" i="1"/>
  <c r="B231" i="1"/>
  <c r="H231" i="1"/>
  <c r="I231" i="1"/>
  <c r="J231" i="1"/>
  <c r="K231" i="1"/>
  <c r="B232" i="1"/>
  <c r="H232" i="1"/>
  <c r="I232" i="1"/>
  <c r="J232" i="1"/>
  <c r="K232" i="1"/>
  <c r="B233" i="1"/>
  <c r="H233" i="1"/>
  <c r="I233" i="1"/>
  <c r="J233" i="1"/>
  <c r="K233" i="1"/>
  <c r="B234" i="1"/>
  <c r="H234" i="1"/>
  <c r="I234" i="1"/>
  <c r="J234" i="1"/>
  <c r="K234" i="1"/>
  <c r="B235" i="1"/>
  <c r="H235" i="1"/>
  <c r="I235" i="1"/>
  <c r="J235" i="1"/>
  <c r="K235" i="1"/>
  <c r="B236" i="1"/>
  <c r="H236" i="1"/>
  <c r="I236" i="1"/>
  <c r="J236" i="1"/>
  <c r="K236" i="1"/>
  <c r="B237" i="1"/>
  <c r="H237" i="1"/>
  <c r="I237" i="1"/>
  <c r="J237" i="1"/>
  <c r="K237" i="1"/>
  <c r="B238" i="1"/>
  <c r="H238" i="1"/>
  <c r="I238" i="1"/>
  <c r="J238" i="1"/>
  <c r="K238" i="1"/>
  <c r="B239" i="1"/>
  <c r="H239" i="1"/>
  <c r="I239" i="1"/>
  <c r="J239" i="1"/>
  <c r="K239" i="1"/>
  <c r="B240" i="1"/>
  <c r="H240" i="1"/>
  <c r="I240" i="1"/>
  <c r="J240" i="1"/>
  <c r="K240" i="1"/>
  <c r="B241" i="1"/>
  <c r="H241" i="1"/>
  <c r="I241" i="1"/>
  <c r="J241" i="1"/>
  <c r="K241" i="1"/>
  <c r="B242" i="1"/>
  <c r="H242" i="1"/>
  <c r="I242" i="1"/>
  <c r="J242" i="1"/>
  <c r="K242" i="1"/>
  <c r="B243" i="1"/>
  <c r="H243" i="1"/>
  <c r="I243" i="1"/>
  <c r="J243" i="1"/>
  <c r="K243" i="1"/>
  <c r="B244" i="1"/>
  <c r="H244" i="1"/>
  <c r="I244" i="1"/>
  <c r="J244" i="1"/>
  <c r="K244" i="1"/>
  <c r="B245" i="1"/>
  <c r="H245" i="1"/>
  <c r="I245" i="1"/>
  <c r="J245" i="1"/>
  <c r="K245" i="1"/>
  <c r="B246" i="1"/>
  <c r="H246" i="1"/>
  <c r="I246" i="1"/>
  <c r="J246" i="1"/>
  <c r="K246" i="1"/>
  <c r="B247" i="1"/>
  <c r="H247" i="1"/>
  <c r="I247" i="1"/>
  <c r="J247" i="1"/>
  <c r="K247" i="1"/>
  <c r="B248" i="1"/>
  <c r="H248" i="1"/>
  <c r="I248" i="1"/>
  <c r="J248" i="1"/>
  <c r="K248" i="1"/>
  <c r="B249" i="1"/>
  <c r="H249" i="1"/>
  <c r="I249" i="1"/>
  <c r="J249" i="1"/>
  <c r="K249" i="1"/>
  <c r="B250" i="1"/>
  <c r="H250" i="1"/>
  <c r="I250" i="1"/>
  <c r="J250" i="1"/>
  <c r="K250" i="1"/>
  <c r="B102" i="1"/>
  <c r="B4" i="1"/>
  <c r="B5" i="1"/>
  <c r="B6" i="1"/>
  <c r="B7" i="1"/>
  <c r="B112" i="1"/>
  <c r="B9" i="1"/>
  <c r="B10" i="1"/>
  <c r="B11" i="1"/>
  <c r="B12" i="1"/>
  <c r="B117" i="1"/>
  <c r="B14" i="1"/>
  <c r="B15" i="1"/>
  <c r="B16" i="1"/>
  <c r="B17" i="1"/>
  <c r="B142" i="1"/>
  <c r="B19" i="1"/>
  <c r="B20" i="1"/>
  <c r="B21" i="1"/>
  <c r="B22" i="1"/>
  <c r="B161" i="1"/>
  <c r="B24" i="1"/>
  <c r="B25" i="1"/>
  <c r="B26" i="1"/>
  <c r="B27" i="1"/>
  <c r="B28" i="1"/>
  <c r="B92" i="1"/>
  <c r="B30" i="1"/>
  <c r="B31" i="1"/>
  <c r="B32" i="1"/>
  <c r="B33" i="1"/>
  <c r="B107" i="1"/>
  <c r="B35" i="1"/>
  <c r="B36" i="1"/>
  <c r="B37" i="1"/>
  <c r="B38" i="1"/>
  <c r="B122" i="1"/>
  <c r="B40" i="1"/>
  <c r="B41" i="1"/>
  <c r="B42" i="1"/>
  <c r="B62" i="1"/>
  <c r="B44" i="1"/>
  <c r="B45" i="1"/>
  <c r="B46" i="1"/>
  <c r="B47" i="1"/>
  <c r="B78" i="1"/>
  <c r="B49" i="1"/>
  <c r="B50" i="1"/>
  <c r="B51" i="1"/>
  <c r="B52" i="1"/>
  <c r="B66" i="1"/>
  <c r="B54" i="1"/>
  <c r="B55" i="1"/>
  <c r="B56" i="1"/>
  <c r="B53" i="1"/>
  <c r="B58" i="1"/>
  <c r="B59" i="1"/>
  <c r="B60" i="1"/>
  <c r="B61" i="1"/>
  <c r="B57" i="1"/>
  <c r="B63" i="1"/>
  <c r="B64" i="1"/>
  <c r="B65" i="1"/>
  <c r="B74" i="1"/>
  <c r="B67" i="1"/>
  <c r="B68" i="1"/>
  <c r="B69" i="1"/>
  <c r="B70" i="1"/>
  <c r="B71" i="1"/>
  <c r="B72" i="1"/>
  <c r="B73" i="1"/>
  <c r="B132" i="1"/>
  <c r="B75" i="1"/>
  <c r="B76" i="1"/>
  <c r="B77" i="1"/>
  <c r="B137" i="1"/>
  <c r="B79" i="1"/>
  <c r="B80" i="1"/>
  <c r="B81" i="1"/>
  <c r="B82" i="1"/>
  <c r="B83" i="1"/>
  <c r="B84" i="1"/>
  <c r="B85" i="1"/>
  <c r="B86" i="1"/>
  <c r="B165" i="1"/>
  <c r="B88" i="1"/>
  <c r="B89" i="1"/>
  <c r="B90" i="1"/>
  <c r="B91" i="1"/>
  <c r="B147" i="1"/>
  <c r="B93" i="1"/>
  <c r="B94" i="1"/>
  <c r="B95" i="1"/>
  <c r="B96" i="1"/>
  <c r="B157" i="1"/>
  <c r="B98" i="1"/>
  <c r="B99" i="1"/>
  <c r="B100" i="1"/>
  <c r="B101" i="1"/>
  <c r="B152" i="1"/>
  <c r="B103" i="1"/>
  <c r="B104" i="1"/>
  <c r="B105" i="1"/>
  <c r="B106" i="1"/>
  <c r="B127" i="1"/>
  <c r="B108" i="1"/>
  <c r="B109" i="1"/>
  <c r="B110" i="1"/>
  <c r="B111" i="1"/>
  <c r="B87" i="1"/>
  <c r="B113" i="1"/>
  <c r="B114" i="1"/>
  <c r="B115" i="1"/>
  <c r="B116" i="1"/>
  <c r="B97" i="1"/>
  <c r="B118" i="1"/>
  <c r="B119" i="1"/>
  <c r="B120" i="1"/>
  <c r="B121" i="1"/>
  <c r="B48" i="1"/>
  <c r="B123" i="1"/>
  <c r="B124" i="1"/>
  <c r="B125" i="1"/>
  <c r="B126" i="1"/>
  <c r="B43" i="1"/>
  <c r="B128" i="1"/>
  <c r="B129" i="1"/>
  <c r="B130" i="1"/>
  <c r="B131" i="1"/>
  <c r="B23" i="1"/>
  <c r="B133" i="1"/>
  <c r="B134" i="1"/>
  <c r="B135" i="1"/>
  <c r="B136" i="1"/>
  <c r="B8" i="1"/>
  <c r="B138" i="1"/>
  <c r="B139" i="1"/>
  <c r="B140" i="1"/>
  <c r="B141" i="1"/>
  <c r="B3" i="1"/>
  <c r="B143" i="1"/>
  <c r="B144" i="1"/>
  <c r="B145" i="1"/>
  <c r="B146" i="1"/>
  <c r="B18" i="1"/>
  <c r="B148" i="1"/>
  <c r="B149" i="1"/>
  <c r="B150" i="1"/>
  <c r="B151" i="1"/>
  <c r="B29" i="1"/>
  <c r="B153" i="1"/>
  <c r="B154" i="1"/>
  <c r="B155" i="1"/>
  <c r="B156" i="1"/>
  <c r="B34" i="1"/>
  <c r="B158" i="1"/>
  <c r="B159" i="1"/>
  <c r="B160" i="1"/>
  <c r="B13" i="1"/>
  <c r="B162" i="1"/>
  <c r="B163" i="1"/>
  <c r="B164" i="1"/>
  <c r="B39" i="1"/>
  <c r="B166" i="1"/>
  <c r="B2" i="1"/>
  <c r="N1048576" i="1"/>
  <c r="K102" i="1"/>
  <c r="K4" i="1"/>
  <c r="K5" i="1"/>
  <c r="K6" i="1"/>
  <c r="K7" i="1"/>
  <c r="K112" i="1"/>
  <c r="K9" i="1"/>
  <c r="K10" i="1"/>
  <c r="K11" i="1"/>
  <c r="K12" i="1"/>
  <c r="K117" i="1"/>
  <c r="K14" i="1"/>
  <c r="K15" i="1"/>
  <c r="K16" i="1"/>
  <c r="K17" i="1"/>
  <c r="K142" i="1"/>
  <c r="K19" i="1"/>
  <c r="K20" i="1"/>
  <c r="K21" i="1"/>
  <c r="K22" i="1"/>
  <c r="K161" i="1"/>
  <c r="K24" i="1"/>
  <c r="K25" i="1"/>
  <c r="K26" i="1"/>
  <c r="K27" i="1"/>
  <c r="K28" i="1"/>
  <c r="K92" i="1"/>
  <c r="K30" i="1"/>
  <c r="K31" i="1"/>
  <c r="K32" i="1"/>
  <c r="K33" i="1"/>
  <c r="K107" i="1"/>
  <c r="K35" i="1"/>
  <c r="K36" i="1"/>
  <c r="K37" i="1"/>
  <c r="K38" i="1"/>
  <c r="K122" i="1"/>
  <c r="K40" i="1"/>
  <c r="K41" i="1"/>
  <c r="K42" i="1"/>
  <c r="K62" i="1"/>
  <c r="K44" i="1"/>
  <c r="K45" i="1"/>
  <c r="K46" i="1"/>
  <c r="K47" i="1"/>
  <c r="K78" i="1"/>
  <c r="K49" i="1"/>
  <c r="K50" i="1"/>
  <c r="K51" i="1"/>
  <c r="K52" i="1"/>
  <c r="K66" i="1"/>
  <c r="K54" i="1"/>
  <c r="K55" i="1"/>
  <c r="K56" i="1"/>
  <c r="K53" i="1"/>
  <c r="K58" i="1"/>
  <c r="K59" i="1"/>
  <c r="K60" i="1"/>
  <c r="K61" i="1"/>
  <c r="K57" i="1"/>
  <c r="K63" i="1"/>
  <c r="K64" i="1"/>
  <c r="K65" i="1"/>
  <c r="K74" i="1"/>
  <c r="K67" i="1"/>
  <c r="K68" i="1"/>
  <c r="K69" i="1"/>
  <c r="K70" i="1"/>
  <c r="K71" i="1"/>
  <c r="K72" i="1"/>
  <c r="K73" i="1"/>
  <c r="K132" i="1"/>
  <c r="K75" i="1"/>
  <c r="K76" i="1"/>
  <c r="K77" i="1"/>
  <c r="K137" i="1"/>
  <c r="K79" i="1"/>
  <c r="K80" i="1"/>
  <c r="K81" i="1"/>
  <c r="K82" i="1"/>
  <c r="K83" i="1"/>
  <c r="K84" i="1"/>
  <c r="K85" i="1"/>
  <c r="K86" i="1"/>
  <c r="K165" i="1"/>
  <c r="K88" i="1"/>
  <c r="K89" i="1"/>
  <c r="K90" i="1"/>
  <c r="K91" i="1"/>
  <c r="K147" i="1"/>
  <c r="K93" i="1"/>
  <c r="K94" i="1"/>
  <c r="K95" i="1"/>
  <c r="K96" i="1"/>
  <c r="K157" i="1"/>
  <c r="K98" i="1"/>
  <c r="K99" i="1"/>
  <c r="K100" i="1"/>
  <c r="K101" i="1"/>
  <c r="K152" i="1"/>
  <c r="K103" i="1"/>
  <c r="K104" i="1"/>
  <c r="K105" i="1"/>
  <c r="K106" i="1"/>
  <c r="K127" i="1"/>
  <c r="K108" i="1"/>
  <c r="K109" i="1"/>
  <c r="K110" i="1"/>
  <c r="K111" i="1"/>
  <c r="K87" i="1"/>
  <c r="K113" i="1"/>
  <c r="K114" i="1"/>
  <c r="K115" i="1"/>
  <c r="K116" i="1"/>
  <c r="K97" i="1"/>
  <c r="K118" i="1"/>
  <c r="K119" i="1"/>
  <c r="K120" i="1"/>
  <c r="K121" i="1"/>
  <c r="K48" i="1"/>
  <c r="K123" i="1"/>
  <c r="K124" i="1"/>
  <c r="K125" i="1"/>
  <c r="K126" i="1"/>
  <c r="K43" i="1"/>
  <c r="K128" i="1"/>
  <c r="K129" i="1"/>
  <c r="K130" i="1"/>
  <c r="K131" i="1"/>
  <c r="K23" i="1"/>
  <c r="K133" i="1"/>
  <c r="K134" i="1"/>
  <c r="K135" i="1"/>
  <c r="K136" i="1"/>
  <c r="K8" i="1"/>
  <c r="K138" i="1"/>
  <c r="K139" i="1"/>
  <c r="K140" i="1"/>
  <c r="K141" i="1"/>
  <c r="K3" i="1"/>
  <c r="K143" i="1"/>
  <c r="K144" i="1"/>
  <c r="K145" i="1"/>
  <c r="K146" i="1"/>
  <c r="K18" i="1"/>
  <c r="K148" i="1"/>
  <c r="K149" i="1"/>
  <c r="K150" i="1"/>
  <c r="K151" i="1"/>
  <c r="K29" i="1"/>
  <c r="K153" i="1"/>
  <c r="K154" i="1"/>
  <c r="K155" i="1"/>
  <c r="K156" i="1"/>
  <c r="K34" i="1"/>
  <c r="K158" i="1"/>
  <c r="K159" i="1"/>
  <c r="K160" i="1"/>
  <c r="K13" i="1"/>
  <c r="K162" i="1"/>
  <c r="K163" i="1"/>
  <c r="K164" i="1"/>
  <c r="K39" i="1"/>
  <c r="K166" i="1"/>
  <c r="K2" i="1"/>
  <c r="M1" i="1"/>
  <c r="J102" i="1"/>
  <c r="J4" i="1"/>
  <c r="J5" i="1"/>
  <c r="J6" i="1"/>
  <c r="J7" i="1"/>
  <c r="J112" i="1"/>
  <c r="J9" i="1"/>
  <c r="J10" i="1"/>
  <c r="J11" i="1"/>
  <c r="J12" i="1"/>
  <c r="J117" i="1"/>
  <c r="J14" i="1"/>
  <c r="J15" i="1"/>
  <c r="J16" i="1"/>
  <c r="J17" i="1"/>
  <c r="J142" i="1"/>
  <c r="J19" i="1"/>
  <c r="J20" i="1"/>
  <c r="J21" i="1"/>
  <c r="J22" i="1"/>
  <c r="J161" i="1"/>
  <c r="J24" i="1"/>
  <c r="J25" i="1"/>
  <c r="J26" i="1"/>
  <c r="J27" i="1"/>
  <c r="J28" i="1"/>
  <c r="J92" i="1"/>
  <c r="J30" i="1"/>
  <c r="J31" i="1"/>
  <c r="J32" i="1"/>
  <c r="J33" i="1"/>
  <c r="J107" i="1"/>
  <c r="J35" i="1"/>
  <c r="J36" i="1"/>
  <c r="J37" i="1"/>
  <c r="J38" i="1"/>
  <c r="J122" i="1"/>
  <c r="J40" i="1"/>
  <c r="J41" i="1"/>
  <c r="J42" i="1"/>
  <c r="J62" i="1"/>
  <c r="J44" i="1"/>
  <c r="J45" i="1"/>
  <c r="J46" i="1"/>
  <c r="J47" i="1"/>
  <c r="J78" i="1"/>
  <c r="J49" i="1"/>
  <c r="J50" i="1"/>
  <c r="J51" i="1"/>
  <c r="J52" i="1"/>
  <c r="J66" i="1"/>
  <c r="J54" i="1"/>
  <c r="J55" i="1"/>
  <c r="J56" i="1"/>
  <c r="J53" i="1"/>
  <c r="J58" i="1"/>
  <c r="J59" i="1"/>
  <c r="J60" i="1"/>
  <c r="J61" i="1"/>
  <c r="J57" i="1"/>
  <c r="J63" i="1"/>
  <c r="J64" i="1"/>
  <c r="J65" i="1"/>
  <c r="J74" i="1"/>
  <c r="J67" i="1"/>
  <c r="J68" i="1"/>
  <c r="J69" i="1"/>
  <c r="J70" i="1"/>
  <c r="J71" i="1"/>
  <c r="J72" i="1"/>
  <c r="J73" i="1"/>
  <c r="J132" i="1"/>
  <c r="J75" i="1"/>
  <c r="J76" i="1"/>
  <c r="J77" i="1"/>
  <c r="J137" i="1"/>
  <c r="J79" i="1"/>
  <c r="J80" i="1"/>
  <c r="J81" i="1"/>
  <c r="J82" i="1"/>
  <c r="J83" i="1"/>
  <c r="J84" i="1"/>
  <c r="J85" i="1"/>
  <c r="J86" i="1"/>
  <c r="J165" i="1"/>
  <c r="J88" i="1"/>
  <c r="J89" i="1"/>
  <c r="J90" i="1"/>
  <c r="J91" i="1"/>
  <c r="J147" i="1"/>
  <c r="J93" i="1"/>
  <c r="J94" i="1"/>
  <c r="J95" i="1"/>
  <c r="J96" i="1"/>
  <c r="J157" i="1"/>
  <c r="J98" i="1"/>
  <c r="J99" i="1"/>
  <c r="J100" i="1"/>
  <c r="J101" i="1"/>
  <c r="J152" i="1"/>
  <c r="J103" i="1"/>
  <c r="J104" i="1"/>
  <c r="J105" i="1"/>
  <c r="J106" i="1"/>
  <c r="J127" i="1"/>
  <c r="J108" i="1"/>
  <c r="J109" i="1"/>
  <c r="J110" i="1"/>
  <c r="J111" i="1"/>
  <c r="J87" i="1"/>
  <c r="J113" i="1"/>
  <c r="J114" i="1"/>
  <c r="J115" i="1"/>
  <c r="J116" i="1"/>
  <c r="J97" i="1"/>
  <c r="J118" i="1"/>
  <c r="J119" i="1"/>
  <c r="J120" i="1"/>
  <c r="J121" i="1"/>
  <c r="J48" i="1"/>
  <c r="J123" i="1"/>
  <c r="J124" i="1"/>
  <c r="J125" i="1"/>
  <c r="J126" i="1"/>
  <c r="J43" i="1"/>
  <c r="J128" i="1"/>
  <c r="J129" i="1"/>
  <c r="J130" i="1"/>
  <c r="J131" i="1"/>
  <c r="J23" i="1"/>
  <c r="J133" i="1"/>
  <c r="J134" i="1"/>
  <c r="J135" i="1"/>
  <c r="J136" i="1"/>
  <c r="J8" i="1"/>
  <c r="J138" i="1"/>
  <c r="J139" i="1"/>
  <c r="J140" i="1"/>
  <c r="J141" i="1"/>
  <c r="J3" i="1"/>
  <c r="J143" i="1"/>
  <c r="J144" i="1"/>
  <c r="J145" i="1"/>
  <c r="J146" i="1"/>
  <c r="J18" i="1"/>
  <c r="J148" i="1"/>
  <c r="J149" i="1"/>
  <c r="J150" i="1"/>
  <c r="J151" i="1"/>
  <c r="J29" i="1"/>
  <c r="J153" i="1"/>
  <c r="J154" i="1"/>
  <c r="J155" i="1"/>
  <c r="J156" i="1"/>
  <c r="J34" i="1"/>
  <c r="J158" i="1"/>
  <c r="J159" i="1"/>
  <c r="J160" i="1"/>
  <c r="J13" i="1"/>
  <c r="J162" i="1"/>
  <c r="J163" i="1"/>
  <c r="J164" i="1"/>
  <c r="J39" i="1"/>
  <c r="J166" i="1"/>
  <c r="J2" i="1"/>
  <c r="I102" i="1"/>
  <c r="I4" i="1"/>
  <c r="I5" i="1"/>
  <c r="I6" i="1"/>
  <c r="I7" i="1"/>
  <c r="I112" i="1"/>
  <c r="I9" i="1"/>
  <c r="I10" i="1"/>
  <c r="I11" i="1"/>
  <c r="I12" i="1"/>
  <c r="I117" i="1"/>
  <c r="I14" i="1"/>
  <c r="I15" i="1"/>
  <c r="I16" i="1"/>
  <c r="I17" i="1"/>
  <c r="I142" i="1"/>
  <c r="I19" i="1"/>
  <c r="I20" i="1"/>
  <c r="I21" i="1"/>
  <c r="I22" i="1"/>
  <c r="I161" i="1"/>
  <c r="I24" i="1"/>
  <c r="I25" i="1"/>
  <c r="I26" i="1"/>
  <c r="I27" i="1"/>
  <c r="I28" i="1"/>
  <c r="I92" i="1"/>
  <c r="I30" i="1"/>
  <c r="I31" i="1"/>
  <c r="I32" i="1"/>
  <c r="I33" i="1"/>
  <c r="I107" i="1"/>
  <c r="I35" i="1"/>
  <c r="I36" i="1"/>
  <c r="I37" i="1"/>
  <c r="I38" i="1"/>
  <c r="I122" i="1"/>
  <c r="I40" i="1"/>
  <c r="I41" i="1"/>
  <c r="I42" i="1"/>
  <c r="I62" i="1"/>
  <c r="I44" i="1"/>
  <c r="I45" i="1"/>
  <c r="I46" i="1"/>
  <c r="I47" i="1"/>
  <c r="I78" i="1"/>
  <c r="I49" i="1"/>
  <c r="I50" i="1"/>
  <c r="I51" i="1"/>
  <c r="I52" i="1"/>
  <c r="I66" i="1"/>
  <c r="I54" i="1"/>
  <c r="I55" i="1"/>
  <c r="I56" i="1"/>
  <c r="I53" i="1"/>
  <c r="I58" i="1"/>
  <c r="I59" i="1"/>
  <c r="I60" i="1"/>
  <c r="I61" i="1"/>
  <c r="I57" i="1"/>
  <c r="I63" i="1"/>
  <c r="I64" i="1"/>
  <c r="I65" i="1"/>
  <c r="I74" i="1"/>
  <c r="I67" i="1"/>
  <c r="I68" i="1"/>
  <c r="I69" i="1"/>
  <c r="I70" i="1"/>
  <c r="I71" i="1"/>
  <c r="I72" i="1"/>
  <c r="I73" i="1"/>
  <c r="I132" i="1"/>
  <c r="I75" i="1"/>
  <c r="I76" i="1"/>
  <c r="I77" i="1"/>
  <c r="I137" i="1"/>
  <c r="I79" i="1"/>
  <c r="I80" i="1"/>
  <c r="I81" i="1"/>
  <c r="I82" i="1"/>
  <c r="I83" i="1"/>
  <c r="I84" i="1"/>
  <c r="I85" i="1"/>
  <c r="I86" i="1"/>
  <c r="I165" i="1"/>
  <c r="I88" i="1"/>
  <c r="I89" i="1"/>
  <c r="I90" i="1"/>
  <c r="I91" i="1"/>
  <c r="I147" i="1"/>
  <c r="I93" i="1"/>
  <c r="I94" i="1"/>
  <c r="I95" i="1"/>
  <c r="I96" i="1"/>
  <c r="I157" i="1"/>
  <c r="I98" i="1"/>
  <c r="I99" i="1"/>
  <c r="I100" i="1"/>
  <c r="I101" i="1"/>
  <c r="I152" i="1"/>
  <c r="I103" i="1"/>
  <c r="I104" i="1"/>
  <c r="I105" i="1"/>
  <c r="I106" i="1"/>
  <c r="I127" i="1"/>
  <c r="I108" i="1"/>
  <c r="I109" i="1"/>
  <c r="I110" i="1"/>
  <c r="I111" i="1"/>
  <c r="I87" i="1"/>
  <c r="I113" i="1"/>
  <c r="I114" i="1"/>
  <c r="I115" i="1"/>
  <c r="I116" i="1"/>
  <c r="I97" i="1"/>
  <c r="I118" i="1"/>
  <c r="I119" i="1"/>
  <c r="I120" i="1"/>
  <c r="I121" i="1"/>
  <c r="I48" i="1"/>
  <c r="I123" i="1"/>
  <c r="I124" i="1"/>
  <c r="I125" i="1"/>
  <c r="I126" i="1"/>
  <c r="I43" i="1"/>
  <c r="I128" i="1"/>
  <c r="I129" i="1"/>
  <c r="I130" i="1"/>
  <c r="I131" i="1"/>
  <c r="I23" i="1"/>
  <c r="I133" i="1"/>
  <c r="I134" i="1"/>
  <c r="I135" i="1"/>
  <c r="I136" i="1"/>
  <c r="I8" i="1"/>
  <c r="I138" i="1"/>
  <c r="I139" i="1"/>
  <c r="I140" i="1"/>
  <c r="I141" i="1"/>
  <c r="I3" i="1"/>
  <c r="I143" i="1"/>
  <c r="I144" i="1"/>
  <c r="I145" i="1"/>
  <c r="I146" i="1"/>
  <c r="I18" i="1"/>
  <c r="I148" i="1"/>
  <c r="I149" i="1"/>
  <c r="I150" i="1"/>
  <c r="I151" i="1"/>
  <c r="I29" i="1"/>
  <c r="I153" i="1"/>
  <c r="I154" i="1"/>
  <c r="I155" i="1"/>
  <c r="I156" i="1"/>
  <c r="I34" i="1"/>
  <c r="I158" i="1"/>
  <c r="I159" i="1"/>
  <c r="I160" i="1"/>
  <c r="I13" i="1"/>
  <c r="I162" i="1"/>
  <c r="I163" i="1"/>
  <c r="I164" i="1"/>
  <c r="I39" i="1"/>
  <c r="I166" i="1"/>
  <c r="I2" i="1"/>
  <c r="H102" i="1"/>
  <c r="H4" i="1"/>
  <c r="H5" i="1"/>
  <c r="H6" i="1"/>
  <c r="H7" i="1"/>
  <c r="H112" i="1"/>
  <c r="H9" i="1"/>
  <c r="H10" i="1"/>
  <c r="H11" i="1"/>
  <c r="H12" i="1"/>
  <c r="H117" i="1"/>
  <c r="H14" i="1"/>
  <c r="H15" i="1"/>
  <c r="H16" i="1"/>
  <c r="H17" i="1"/>
  <c r="H142" i="1"/>
  <c r="H19" i="1"/>
  <c r="H20" i="1"/>
  <c r="H21" i="1"/>
  <c r="H22" i="1"/>
  <c r="H161" i="1"/>
  <c r="H24" i="1"/>
  <c r="H25" i="1"/>
  <c r="H26" i="1"/>
  <c r="H27" i="1"/>
  <c r="H28" i="1"/>
  <c r="H92" i="1"/>
  <c r="H30" i="1"/>
  <c r="H31" i="1"/>
  <c r="H32" i="1"/>
  <c r="H33" i="1"/>
  <c r="H107" i="1"/>
  <c r="H35" i="1"/>
  <c r="H36" i="1"/>
  <c r="H37" i="1"/>
  <c r="H38" i="1"/>
  <c r="H122" i="1"/>
  <c r="H40" i="1"/>
  <c r="H41" i="1"/>
  <c r="H42" i="1"/>
  <c r="H62" i="1"/>
  <c r="H44" i="1"/>
  <c r="H45" i="1"/>
  <c r="H46" i="1"/>
  <c r="H47" i="1"/>
  <c r="H78" i="1"/>
  <c r="H49" i="1"/>
  <c r="H50" i="1"/>
  <c r="H51" i="1"/>
  <c r="H52" i="1"/>
  <c r="H66" i="1"/>
  <c r="H54" i="1"/>
  <c r="H55" i="1"/>
  <c r="H56" i="1"/>
  <c r="H53" i="1"/>
  <c r="H58" i="1"/>
  <c r="H59" i="1"/>
  <c r="H60" i="1"/>
  <c r="H61" i="1"/>
  <c r="H57" i="1"/>
  <c r="H63" i="1"/>
  <c r="H64" i="1"/>
  <c r="H65" i="1"/>
  <c r="H74" i="1"/>
  <c r="H67" i="1"/>
  <c r="H68" i="1"/>
  <c r="H69" i="1"/>
  <c r="H70" i="1"/>
  <c r="H71" i="1"/>
  <c r="H72" i="1"/>
  <c r="H73" i="1"/>
  <c r="H132" i="1"/>
  <c r="H75" i="1"/>
  <c r="H76" i="1"/>
  <c r="H77" i="1"/>
  <c r="H137" i="1"/>
  <c r="H79" i="1"/>
  <c r="H80" i="1"/>
  <c r="H81" i="1"/>
  <c r="H82" i="1"/>
  <c r="H83" i="1"/>
  <c r="H84" i="1"/>
  <c r="H85" i="1"/>
  <c r="H86" i="1"/>
  <c r="H165" i="1"/>
  <c r="H88" i="1"/>
  <c r="H89" i="1"/>
  <c r="H90" i="1"/>
  <c r="H91" i="1"/>
  <c r="H147" i="1"/>
  <c r="H93" i="1"/>
  <c r="H94" i="1"/>
  <c r="H95" i="1"/>
  <c r="H96" i="1"/>
  <c r="H157" i="1"/>
  <c r="H98" i="1"/>
  <c r="H99" i="1"/>
  <c r="H100" i="1"/>
  <c r="H101" i="1"/>
  <c r="H152" i="1"/>
  <c r="H103" i="1"/>
  <c r="H104" i="1"/>
  <c r="H105" i="1"/>
  <c r="H106" i="1"/>
  <c r="H127" i="1"/>
  <c r="H108" i="1"/>
  <c r="H109" i="1"/>
  <c r="H110" i="1"/>
  <c r="H111" i="1"/>
  <c r="H87" i="1"/>
  <c r="H113" i="1"/>
  <c r="H114" i="1"/>
  <c r="H115" i="1"/>
  <c r="H116" i="1"/>
  <c r="H97" i="1"/>
  <c r="H118" i="1"/>
  <c r="H119" i="1"/>
  <c r="H120" i="1"/>
  <c r="H121" i="1"/>
  <c r="H48" i="1"/>
  <c r="H123" i="1"/>
  <c r="H124" i="1"/>
  <c r="H125" i="1"/>
  <c r="H126" i="1"/>
  <c r="H43" i="1"/>
  <c r="H128" i="1"/>
  <c r="H129" i="1"/>
  <c r="H130" i="1"/>
  <c r="H131" i="1"/>
  <c r="H23" i="1"/>
  <c r="H133" i="1"/>
  <c r="H134" i="1"/>
  <c r="H135" i="1"/>
  <c r="H136" i="1"/>
  <c r="H8" i="1"/>
  <c r="H138" i="1"/>
  <c r="H139" i="1"/>
  <c r="H140" i="1"/>
  <c r="H141" i="1"/>
  <c r="H3" i="1"/>
  <c r="H143" i="1"/>
  <c r="H144" i="1"/>
  <c r="H145" i="1"/>
  <c r="H146" i="1"/>
  <c r="H18" i="1"/>
  <c r="H148" i="1"/>
  <c r="H149" i="1"/>
  <c r="H150" i="1"/>
  <c r="H151" i="1"/>
  <c r="H29" i="1"/>
  <c r="H153" i="1"/>
  <c r="H154" i="1"/>
  <c r="H155" i="1"/>
  <c r="H156" i="1"/>
  <c r="H34" i="1"/>
  <c r="H158" i="1"/>
  <c r="H159" i="1"/>
  <c r="H160" i="1"/>
  <c r="H13" i="1"/>
  <c r="H162" i="1"/>
  <c r="H163" i="1"/>
  <c r="H164" i="1"/>
  <c r="H39" i="1"/>
  <c r="H166" i="1"/>
  <c r="H2" i="1"/>
</calcChain>
</file>

<file path=xl/sharedStrings.xml><?xml version="1.0" encoding="utf-8"?>
<sst xmlns="http://schemas.openxmlformats.org/spreadsheetml/2006/main" count="124" uniqueCount="59">
  <si>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</si>
  <si>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</si>
  <si>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</si>
  <si>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</si>
  <si>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</si>
  <si>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>DAY AV. VIX</t>
  </si>
  <si>
    <t>H-L</t>
  </si>
  <si>
    <t>H-O</t>
  </si>
  <si>
    <t>O-L</t>
  </si>
  <si>
    <t>O-C</t>
  </si>
  <si>
    <t>TOTAl days</t>
  </si>
  <si>
    <t>VIX</t>
  </si>
  <si>
    <t>&lt;100</t>
  </si>
  <si>
    <t>100-150</t>
  </si>
  <si>
    <t>150-200</t>
  </si>
  <si>
    <t>200-250</t>
  </si>
  <si>
    <t>250-300</t>
  </si>
  <si>
    <t>&gt;300</t>
  </si>
  <si>
    <t>0-11</t>
  </si>
  <si>
    <t>11-"12</t>
  </si>
  <si>
    <t>12-"13</t>
  </si>
  <si>
    <t>13-14</t>
  </si>
  <si>
    <t>14-15</t>
  </si>
  <si>
    <t>15-16</t>
  </si>
  <si>
    <t>16-17</t>
  </si>
  <si>
    <t>17-18</t>
  </si>
  <si>
    <t>18-19</t>
  </si>
  <si>
    <t>&gt;19</t>
  </si>
  <si>
    <t>&gt;175</t>
  </si>
  <si>
    <t>O-C OR C-O</t>
  </si>
  <si>
    <t>Day</t>
  </si>
  <si>
    <t>Row Labels</t>
  </si>
  <si>
    <t>Grand Total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</si>
  <si>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</si>
  <si>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</si>
  <si>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</si>
  <si>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</si>
  <si>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</si>
  <si>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</si>
  <si>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</si>
  <si>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</si>
  <si>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</si>
  <si>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</si>
  <si>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</si>
  <si>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</si>
  <si>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</si>
  <si>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</si>
  <si>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Average_Close </t>
  </si>
  <si>
    <t>Average_Range_(H-L)</t>
  </si>
  <si>
    <t>Average_Direction(O-C)</t>
  </si>
  <si>
    <t>Average_VIX</t>
  </si>
  <si>
    <t>(All)</t>
  </si>
  <si>
    <t>Average_(H-L)</t>
  </si>
  <si>
    <t>Month</t>
  </si>
  <si>
    <t>Weekday Filter</t>
  </si>
  <si>
    <t>75</t>
  </si>
  <si>
    <t>125</t>
  </si>
  <si>
    <t>175</t>
  </si>
  <si>
    <t>Note: Metrics shown are monthly averages derived from daily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</si>
</sst>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5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[NIFTY with vix.xlsx]Analysis!PivotTable5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Analysis!$B$20</c:f>
              <c:strCache>
                <c:ptCount val="1"/>
                <c:pt idx="0">
                  <c:v>Average_VIX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Analysis!$A$21:$A$33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Jan</c:v>
                </c:pt>
                <c:pt idx="3">
                  <c:v>Mar</c:v>
                </c:pt>
                <c:pt idx="4">
                  <c:v>Feb</c:v>
                </c:pt>
                <c:pt idx="5">
                  <c:v>Jun</c:v>
                </c:pt>
                <c:pt idx="6">
                  <c:v>Oct</c:v>
                </c:pt>
                <c:pt idx="7">
                  <c:v>Nov</c:v>
                </c:pt>
                <c:pt idx="8">
                  <c:v>Aug</c:v>
                </c:pt>
                <c:pt idx="9">
                  <c:v>Jul</c:v>
                </c:pt>
                <c:pt idx="10">
                  <c:v>Dec</c:v>
                </c:pt>
                <c:pt idx="11">
                  <c:v>Sep</c:v>
                </c:pt>
              </c:strCache>
            </c:strRef>
          </c:cat>
          <c:val>
            <c:numRef>
              <c:f>Analysis!$B$21:$B$33</c:f>
              <c:numCache>
                <c:formatCode>0.0</c:formatCode>
                <c:ptCount val="12"/>
                <c:pt idx="0">
                  <c:v>16.61101973684211</c:v>
                </c:pt>
                <c:pt idx="1">
                  <c:v>18.033869047619046</c:v>
                </c:pt>
                <c:pt idx="2">
                  <c:v>15.835570652173915</c:v>
                </c:pt>
                <c:pt idx="3">
                  <c:v>13.46065789473684</c:v>
                </c:pt>
                <c:pt idx="4">
                  <c:v>14.544999999999998</c:v>
                </c:pt>
                <c:pt idx="5">
                  <c:v>14.43404761904762</c:v>
                </c:pt>
                <c:pt idx="6">
                  <c:v>10.999821428571428</c:v>
                </c:pt>
                <c:pt idx="7">
                  <c:v>12.192401315789475</c:v>
                </c:pt>
                <c:pt idx="8">
                  <c:v>11.885065789473684</c:v>
                </c:pt>
                <c:pt idx="9">
                  <c:v>11.675543478260868</c:v>
                </c:pt>
                <c:pt idx="10">
                  <c:v>10.249829545454546</c:v>
                </c:pt>
                <c:pt idx="11">
                  <c:v>10.65909090909091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7-46B4-84DA-039A747D1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8100464"/>
        <c:axId val="1548103344"/>
      </c:barChart>
      <c:lineChart>
        <c:grouping val="standard"/>
        <c:varyColors val="0"/>
        <c:ser>
          <c:idx val="1"/>
          <c:order val="1"/>
          <c:tx>
            <c:strRef>
              <c:f>Analysis!$C$20</c:f>
              <c:strCache>
                <c:ptCount val="1"/>
                <c:pt idx="0">
                  <c:v>Average_(H-L)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Analysis!$A$21:$A$33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Jan</c:v>
                </c:pt>
                <c:pt idx="3">
                  <c:v>Mar</c:v>
                </c:pt>
                <c:pt idx="4">
                  <c:v>Feb</c:v>
                </c:pt>
                <c:pt idx="5">
                  <c:v>Jun</c:v>
                </c:pt>
                <c:pt idx="6">
                  <c:v>Oct</c:v>
                </c:pt>
                <c:pt idx="7">
                  <c:v>Nov</c:v>
                </c:pt>
                <c:pt idx="8">
                  <c:v>Aug</c:v>
                </c:pt>
                <c:pt idx="9">
                  <c:v>Jul</c:v>
                </c:pt>
                <c:pt idx="10">
                  <c:v>Dec</c:v>
                </c:pt>
                <c:pt idx="11">
                  <c:v>Sep</c:v>
                </c:pt>
              </c:strCache>
            </c:strRef>
          </c:cat>
          <c:val>
            <c:numRef>
              <c:f>Analysis!$C$21:$C$33</c:f>
              <c:numCache>
                <c:formatCode>0.0</c:formatCode>
                <c:ptCount val="12"/>
                <c:pt idx="0">
                  <c:v>281.2473684210525</c:v>
                </c:pt>
                <c:pt idx="1">
                  <c:v>272.23095238095249</c:v>
                </c:pt>
                <c:pt idx="2">
                  <c:v>248.87173913043443</c:v>
                </c:pt>
                <c:pt idx="3">
                  <c:v>235.63421052631574</c:v>
                </c:pt>
                <c:pt idx="4">
                  <c:v>235.53499999999968</c:v>
                </c:pt>
                <c:pt idx="5">
                  <c:v>227.83571428571355</c:v>
                </c:pt>
                <c:pt idx="6">
                  <c:v>194.97619047619099</c:v>
                </c:pt>
                <c:pt idx="7">
                  <c:v>190.18684210526294</c:v>
                </c:pt>
                <c:pt idx="8">
                  <c:v>183.06052631578956</c:v>
                </c:pt>
                <c:pt idx="9">
                  <c:v>177.04782608695646</c:v>
                </c:pt>
                <c:pt idx="10">
                  <c:v>167.79090909090948</c:v>
                </c:pt>
                <c:pt idx="11">
                  <c:v>160.6136363636362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67-46B4-84DA-039A747D1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513280"/>
        <c:axId val="1535813120"/>
      </c:lineChart>
      <c:catAx>
        <c:axId val="154810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03344"/>
        <c:crosses val="autoZero"/>
        <c:auto val="1"/>
        <c:lblAlgn val="ctr"/>
        <c:lblOffset val="100"/>
        <c:noMultiLvlLbl val="0"/>
      </c:catAx>
      <c:valAx>
        <c:axId val="154810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00464"/>
        <c:crosses val="autoZero"/>
        <c:crossBetween val="between"/>
      </c:valAx>
      <c:valAx>
        <c:axId val="1535813120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513280"/>
        <c:crosses val="max"/>
        <c:crossBetween val="between"/>
      </c:valAx>
      <c:catAx>
        <c:axId val="1588513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58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152401</xdr:colOff>
      <xdr:row>18</xdr:row>
      <xdr:rowOff>66676</xdr:rowOff>
    </xdr:from>
    <xdr:to>
      <xdr:col>13</xdr:col>
      <xdr:colOff>361950</xdr:colOff>
      <xdr:row>32</xdr:row>
      <xdr:rowOff>104776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1001DE-3137-34DC-9336-A7A3E55AF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</xdr:row>
      <xdr:rowOff>9525</xdr:rowOff>
    </xdr:from>
    <xdr:to>
      <xdr:col>12</xdr:col>
      <xdr:colOff>228600</xdr:colOff>
      <xdr:row>5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A281698-EB10-7F5C-DD07-2CA2F5172B11}"/>
            </a:ext>
          </a:extLst>
        </xdr:cNvPr>
        <xdr:cNvSpPr txBox="1"/>
      </xdr:nvSpPr>
      <xdr:spPr>
        <a:xfrm>
          <a:off x="6305550" y="390525"/>
          <a:ext cx="3876675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tx1"/>
              </a:solidFill>
            </a:rPr>
            <a:t>Monthly Market Volatility &amp; Range Analysis</a:t>
          </a:r>
        </a:p>
        <a:p>
          <a:r>
            <a:rPr lang="en-US" sz="1400" b="1">
              <a:solidFill>
                <a:schemeClr val="tx1"/>
              </a:solidFill>
            </a:rPr>
            <a:t>(Index Price vs VIX)</a:t>
          </a:r>
        </a:p>
        <a:p>
          <a:endParaRPr lang="en-US" sz="1100"/>
        </a:p>
      </xdr:txBody>
    </xdr:sp>
    <xdr:clientData/>
  </xdr:twoCellAnchor>
  <xdr:twoCellAnchor>
    <xdr:from>
      <xdr:col>6</xdr:col>
      <xdr:colOff>38099</xdr:colOff>
      <xdr:row>6</xdr:row>
      <xdr:rowOff>95251</xdr:rowOff>
    </xdr:from>
    <xdr:to>
      <xdr:col>12</xdr:col>
      <xdr:colOff>238124</xdr:colOff>
      <xdr:row>11</xdr:row>
      <xdr:rowOff>171451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7DF6CCE-C4D3-D0CE-69BD-A36340A70FFF}"/>
            </a:ext>
          </a:extLst>
        </xdr:cNvPr>
        <xdr:cNvSpPr txBox="1"/>
      </xdr:nvSpPr>
      <xdr:spPr>
        <a:xfrm>
          <a:off x="6334124" y="1238251"/>
          <a:ext cx="3857625" cy="102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Key Insights</a:t>
          </a:r>
        </a:p>
        <a:p>
          <a:r>
            <a:rPr lang="en-US" sz="1100"/>
            <a:t>• Higher VIX months correspond to wider intraday ranges</a:t>
          </a:r>
        </a:p>
        <a:p>
          <a:r>
            <a:rPr lang="en-US" sz="1100"/>
            <a:t>• Direction (O-C) remains inconsistent across months</a:t>
          </a:r>
        </a:p>
        <a:p>
          <a:r>
            <a:rPr lang="en-US" sz="1100"/>
            <a:t>• Low-VIX periods show range compression</a:t>
          </a:r>
        </a:p>
        <a:p>
          <a:r>
            <a:rPr lang="en-US" sz="1100"/>
            <a:t>• Useful for volatility and range-based strategies</a:t>
          </a:r>
        </a:p>
        <a:p>
          <a:endParaRPr lang="en-US" sz="1100"/>
        </a:p>
      </xdr:txBody>
    </xdr:sp>
    <xdr:clientData/>
  </xdr:twoCellAnchor>
  <xdr:oneCellAnchor>
    <xdr:from>
      <xdr:col>13</xdr:col>
      <xdr:colOff>47625</xdr:colOff>
      <xdr:row>17</xdr:row>
      <xdr:rowOff>133350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B950AA0-E4FD-1DAD-A134-6ED9918C0B17}"/>
            </a:ext>
          </a:extLst>
        </xdr:cNvPr>
        <xdr:cNvSpPr txBox="1"/>
      </xdr:nvSpPr>
      <xdr:spPr>
        <a:xfrm>
          <a:off x="9972675" y="337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533400</xdr:colOff>
      <xdr:row>36</xdr:row>
      <xdr:rowOff>114300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A45011B-C7C5-DB1E-3AA5-C8F5E1874AF0}"/>
            </a:ext>
          </a:extLst>
        </xdr:cNvPr>
        <xdr:cNvSpPr txBox="1"/>
      </xdr:nvSpPr>
      <xdr:spPr>
        <a:xfrm>
          <a:off x="6829425" y="6972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9.510093518518" createdVersion="8" refreshedVersion="8" minRefreshableVersion="3" recordCount="250" xr:uid="{E36F956A-2A1B-482E-AE06-E1601842C3E1}">
  <cacheSource type="worksheet">
    <worksheetSource ref="A1:K251" sheet="Data"/>
  </cacheSource>
  <cacheFields count="14">
    <cacheField name="Date " numFmtId="15">
      <sharedItems containsSemiMixedTypes="0" containsNonDate="0" containsDate="1" containsString="0" minDate="2025-01-01T00:00:00" maxDate="2026-01-02T00:00:00" count="250">
        <d v="2025-01-01T00:00:00"/>
        <d v="2025-07-24T00:00:00"/>
        <d v="2025-01-03T00:00:00"/>
        <d v="2025-01-06T00:00:00"/>
        <d v="2025-01-07T00:00:00"/>
        <d v="2025-01-08T00:00:00"/>
        <d v="2025-07-17T00:00:00"/>
        <d v="2025-01-10T00:00:00"/>
        <d v="2025-01-13T00:00:00"/>
        <d v="2025-01-14T00:00:00"/>
        <d v="2025-01-15T00:00:00"/>
        <d v="2025-08-21T00:00:00"/>
        <d v="2025-01-17T00:00:00"/>
        <d v="2025-01-20T00:00:00"/>
        <d v="2025-01-21T00:00:00"/>
        <d v="2025-01-22T00:00:00"/>
        <d v="2025-07-31T00:00:00"/>
        <d v="2025-01-24T00:00:00"/>
        <d v="2025-01-27T00:00:00"/>
        <d v="2025-01-28T00:00:00"/>
        <d v="2025-01-29T00:00:00"/>
        <d v="2025-07-10T00:00:00"/>
        <d v="2025-01-31T00:00:00"/>
        <d v="2025-02-01T00:00:00"/>
        <d v="2025-02-03T00:00:00"/>
        <d v="2025-02-04T00:00:00"/>
        <d v="2025-02-05T00:00:00"/>
        <d v="2025-08-07T00:00:00"/>
        <d v="2025-02-07T00:00:00"/>
        <d v="2025-02-10T00:00:00"/>
        <d v="2025-02-11T00:00:00"/>
        <d v="2025-02-12T00:00:00"/>
        <d v="2025-08-14T00:00:00"/>
        <d v="2025-02-14T00:00:00"/>
        <d v="2025-02-17T00:00:00"/>
        <d v="2025-02-18T00:00:00"/>
        <d v="2025-02-19T00:00:00"/>
        <d v="2025-08-28T00:00:00"/>
        <d v="2025-02-21T00:00:00"/>
        <d v="2025-02-24T00:00:00"/>
        <d v="2025-02-25T00:00:00"/>
        <d v="2025-07-03T00:00:00"/>
        <d v="2025-02-28T00:00:00"/>
        <d v="2025-03-03T00:00:00"/>
        <d v="2025-03-04T00:00:00"/>
        <d v="2025-03-05T00:00:00"/>
        <d v="2025-06-26T00:00:00"/>
        <d v="2025-03-07T00:00:00"/>
        <d v="2025-03-10T00:00:00"/>
        <d v="2025-03-11T00:00:00"/>
        <d v="2025-03-12T00:00:00"/>
        <d v="2025-03-20T00:00:00"/>
        <d v="2025-03-17T00:00:00"/>
        <d v="2025-03-18T00:00:00"/>
        <d v="2025-03-19T00:00:00"/>
        <d v="2025-03-27T00:00:00"/>
        <d v="2025-03-21T00:00:00"/>
        <d v="2025-03-24T00:00:00"/>
        <d v="2025-03-25T00:00:00"/>
        <d v="2025-03-26T00:00:00"/>
        <d v="2025-02-27T00:00:00"/>
        <d v="2025-03-28T00:00:00"/>
        <d v="2025-04-01T00:00:00"/>
        <d v="2025-04-02T00:00:00"/>
        <d v="2025-03-13T00:00:00"/>
        <d v="2025-04-04T00:00:00"/>
        <d v="2025-04-07T00:00:00"/>
        <d v="2025-04-08T00:00:00"/>
        <d v="2025-04-09T00:00:00"/>
        <d v="2025-04-11T00:00:00"/>
        <d v="2025-04-15T00:00:00"/>
        <d v="2025-04-16T00:00:00"/>
        <d v="2025-04-03T00:00:00"/>
        <d v="2025-04-21T00:00:00"/>
        <d v="2025-04-22T00:00:00"/>
        <d v="2025-04-23T00:00:00"/>
        <d v="2025-03-06T00:00:00"/>
        <d v="2025-04-25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6-12T00:00:00"/>
        <d v="2025-05-09T00:00:00"/>
        <d v="2025-05-12T00:00:00"/>
        <d v="2025-05-13T00:00:00"/>
        <d v="2025-05-14T00:00:00"/>
        <d v="2025-02-06T00:00:00"/>
        <d v="2025-05-16T00:00:00"/>
        <d v="2025-05-19T00:00:00"/>
        <d v="2025-05-20T00:00:00"/>
        <d v="2025-05-21T00:00:00"/>
        <d v="2025-06-19T00:00:00"/>
        <d v="2025-05-23T00:00:00"/>
        <d v="2025-05-26T00:00:00"/>
        <d v="2025-05-27T00:00:00"/>
        <d v="2025-05-28T00:00:00"/>
        <d v="2025-01-02T00:00:00"/>
        <d v="2025-05-30T00:00:00"/>
        <d v="2025-06-02T00:00:00"/>
        <d v="2025-06-03T00:00:00"/>
        <d v="2025-06-04T00:00:00"/>
        <d v="2025-02-13T00:00:00"/>
        <d v="2025-06-06T00:00:00"/>
        <d v="2025-06-09T00:00:00"/>
        <d v="2025-06-10T00:00:00"/>
        <d v="2025-06-11T00:00:00"/>
        <d v="2025-01-09T00:00:00"/>
        <d v="2025-06-13T00:00:00"/>
        <d v="2025-06-16T00:00:00"/>
        <d v="2025-06-17T00:00:00"/>
        <d v="2025-06-18T00:00:00"/>
        <d v="2025-01-16T00:00:00"/>
        <d v="2025-06-20T00:00:00"/>
        <d v="2025-06-23T00:00:00"/>
        <d v="2025-06-24T00:00:00"/>
        <d v="2025-06-25T00:00:00"/>
        <d v="2025-02-20T00:00:00"/>
        <d v="2025-06-27T00:00:00"/>
        <d v="2025-06-30T00:00:00"/>
        <d v="2025-07-01T00:00:00"/>
        <d v="2025-07-02T00:00:00"/>
        <d v="2025-06-05T00:00:00"/>
        <d v="2025-07-04T00:00:00"/>
        <d v="2025-07-07T00:00:00"/>
        <d v="2025-07-08T00:00:00"/>
        <d v="2025-07-09T00:00:00"/>
        <d v="2025-04-17T00:00:00"/>
        <d v="2025-07-11T00:00:00"/>
        <d v="2025-07-14T00:00:00"/>
        <d v="2025-07-15T00:00:00"/>
        <d v="2025-07-16T00:00:00"/>
        <d v="2025-04-24T00:00:00"/>
        <d v="2025-07-18T00:00:00"/>
        <d v="2025-07-21T00:00:00"/>
        <d v="2025-07-22T00:00:00"/>
        <d v="2025-07-23T00:00:00"/>
        <d v="2025-01-23T00:00:00"/>
        <d v="2025-07-25T00:00:00"/>
        <d v="2025-07-28T00:00:00"/>
        <d v="2025-07-29T00:00:00"/>
        <d v="2025-07-30T00:00:00"/>
        <d v="2025-05-15T00:00:00"/>
        <d v="2025-08-01T00:00:00"/>
        <d v="2025-08-04T00:00:00"/>
        <d v="2025-08-05T00:00:00"/>
        <d v="2025-08-06T00:00:00"/>
        <d v="2025-05-29T00:00:00"/>
        <d v="2025-08-08T00:00:00"/>
        <d v="2025-08-11T00:00:00"/>
        <d v="2025-08-12T00:00:00"/>
        <d v="2025-08-13T00:00:00"/>
        <d v="2025-05-22T00:00:00"/>
        <d v="2025-08-18T00:00:00"/>
        <d v="2025-08-19T00:00:00"/>
        <d v="2025-08-20T00:00:00"/>
        <d v="2025-01-30T00:00:00"/>
        <d v="2025-08-22T00:00:00"/>
        <d v="2025-08-25T00:00:00"/>
        <d v="2025-08-26T00:00:00"/>
        <d v="2025-05-0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1T00:00:00"/>
      </sharedItems>
      <fieldGroup par="13"/>
    </cacheField>
    <cacheField name="Day" numFmtId="15">
      <sharedItems/>
    </cacheField>
    <cacheField name="Open " numFmtId="0">
      <sharedItems containsSemiMixedTypes="0" containsString="0" containsNumber="1" minValue="21758.400000000001" maxValue="26325.8"/>
    </cacheField>
    <cacheField name="High " numFmtId="0">
      <sharedItems containsSemiMixedTypes="0" containsString="0" containsNumber="1" minValue="22105.05" maxValue="26325.8"/>
    </cacheField>
    <cacheField name="Low " numFmtId="0">
      <sharedItems containsSemiMixedTypes="0" containsString="0" containsNumber="1" minValue="21743.65" maxValue="26172.400000000001"/>
    </cacheField>
    <cacheField name="Close " numFmtId="0">
      <sharedItems containsSemiMixedTypes="0" containsString="0" containsNumber="1" minValue="22082.65" maxValue="26215.55"/>
    </cacheField>
    <cacheField name="DAY AV. VIX" numFmtId="2">
      <sharedItems containsSemiMixedTypes="0" containsString="0" containsNumber="1" minValue="9.1887500000000006" maxValue="21.596874999999997"/>
    </cacheField>
    <cacheField name="H-L" numFmtId="0">
      <sharedItems containsSemiMixedTypes="0" containsString="0" containsNumber="1" minValue="71.150000000001455" maxValue="621.79999999999927"/>
    </cacheField>
    <cacheField name="H-O" numFmtId="0">
      <sharedItems containsSemiMixedTypes="0" containsString="0" containsNumber="1" minValue="0" maxValue="524.70000000000073"/>
    </cacheField>
    <cacheField name="O-L" numFmtId="0">
      <sharedItems containsSemiMixedTypes="0" containsString="0" containsNumber="1" minValue="0" maxValue="493.89999999999782"/>
    </cacheField>
    <cacheField name="O-C" numFmtId="0">
      <sharedItems containsSemiMixedTypes="0" containsString="0" containsNumber="1" minValue="2.0500000000029104" maxValue="504.60000000000218"/>
    </cacheField>
    <cacheField name="Months (Date )" numFmtId="0" databaseField="0">
      <fieldGroup base="0">
        <rangePr groupBy="months" startDate="2025-01-01T00:00:00" endDate="2026-01-02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6"/>
        </groupItems>
      </fieldGroup>
    </cacheField>
    <cacheField name="Quarters (Date )" numFmtId="0" databaseField="0">
      <fieldGroup base="0">
        <rangePr groupBy="quarters" startDate="2025-01-01T00:00:00" endDate="2026-01-02T00:00:00"/>
        <groupItems count="6">
          <s v="&lt;1/1/2025"/>
          <s v="Qtr1"/>
          <s v="Qtr2"/>
          <s v="Qtr3"/>
          <s v="Qtr4"/>
          <s v="&gt;1/2/2026"/>
        </groupItems>
      </fieldGroup>
    </cacheField>
    <cacheField name="Years (Date )" numFmtId="0" databaseField="0">
      <fieldGroup base="0">
        <rangePr groupBy="years" startDate="2025-01-01T00:00:00" endDate="2026-01-02T00:00:00"/>
        <groupItems count="4">
          <s v="&lt;1/1/2025"/>
          <s v="2025"/>
          <s v="2026"/>
          <s v="&gt;1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9.512707870374" createdVersion="8" refreshedVersion="8" minRefreshableVersion="3" recordCount="249" xr:uid="{F129967B-4509-4DCA-9B48-DF2CE36354E7}">
  <cacheSource type="worksheet">
    <worksheetSource ref="A1:K250" sheet="Data"/>
  </cacheSource>
  <cacheFields count="13">
    <cacheField name="Date " numFmtId="15">
      <sharedItems containsSemiMixedTypes="0" containsNonDate="0" containsDate="1" containsString="0" minDate="2025-01-01T00:00:00" maxDate="2026-01-01T00:00:00" count="249">
        <d v="2025-01-01T00:00:00"/>
        <d v="2025-07-24T00:00:00"/>
        <d v="2025-01-03T00:00:00"/>
        <d v="2025-01-06T00:00:00"/>
        <d v="2025-01-07T00:00:00"/>
        <d v="2025-01-08T00:00:00"/>
        <d v="2025-07-17T00:00:00"/>
        <d v="2025-01-10T00:00:00"/>
        <d v="2025-01-13T00:00:00"/>
        <d v="2025-01-14T00:00:00"/>
        <d v="2025-01-15T00:00:00"/>
        <d v="2025-08-21T00:00:00"/>
        <d v="2025-01-17T00:00:00"/>
        <d v="2025-01-20T00:00:00"/>
        <d v="2025-01-21T00:00:00"/>
        <d v="2025-01-22T00:00:00"/>
        <d v="2025-07-31T00:00:00"/>
        <d v="2025-01-24T00:00:00"/>
        <d v="2025-01-27T00:00:00"/>
        <d v="2025-01-28T00:00:00"/>
        <d v="2025-01-29T00:00:00"/>
        <d v="2025-07-10T00:00:00"/>
        <d v="2025-01-31T00:00:00"/>
        <d v="2025-02-01T00:00:00"/>
        <d v="2025-02-03T00:00:00"/>
        <d v="2025-02-04T00:00:00"/>
        <d v="2025-02-05T00:00:00"/>
        <d v="2025-08-07T00:00:00"/>
        <d v="2025-02-07T00:00:00"/>
        <d v="2025-02-10T00:00:00"/>
        <d v="2025-02-11T00:00:00"/>
        <d v="2025-02-12T00:00:00"/>
        <d v="2025-08-14T00:00:00"/>
        <d v="2025-02-14T00:00:00"/>
        <d v="2025-02-17T00:00:00"/>
        <d v="2025-02-18T00:00:00"/>
        <d v="2025-02-19T00:00:00"/>
        <d v="2025-08-28T00:00:00"/>
        <d v="2025-02-21T00:00:00"/>
        <d v="2025-02-24T00:00:00"/>
        <d v="2025-02-25T00:00:00"/>
        <d v="2025-07-03T00:00:00"/>
        <d v="2025-02-28T00:00:00"/>
        <d v="2025-03-03T00:00:00"/>
        <d v="2025-03-04T00:00:00"/>
        <d v="2025-03-05T00:00:00"/>
        <d v="2025-06-26T00:00:00"/>
        <d v="2025-03-07T00:00:00"/>
        <d v="2025-03-10T00:00:00"/>
        <d v="2025-03-11T00:00:00"/>
        <d v="2025-03-12T00:00:00"/>
        <d v="2025-03-20T00:00:00"/>
        <d v="2025-03-17T00:00:00"/>
        <d v="2025-03-18T00:00:00"/>
        <d v="2025-03-19T00:00:00"/>
        <d v="2025-03-27T00:00:00"/>
        <d v="2025-03-21T00:00:00"/>
        <d v="2025-03-24T00:00:00"/>
        <d v="2025-03-25T00:00:00"/>
        <d v="2025-03-26T00:00:00"/>
        <d v="2025-02-27T00:00:00"/>
        <d v="2025-03-28T00:00:00"/>
        <d v="2025-04-01T00:00:00"/>
        <d v="2025-04-02T00:00:00"/>
        <d v="2025-03-13T00:00:00"/>
        <d v="2025-04-04T00:00:00"/>
        <d v="2025-04-07T00:00:00"/>
        <d v="2025-04-08T00:00:00"/>
        <d v="2025-04-09T00:00:00"/>
        <d v="2025-04-11T00:00:00"/>
        <d v="2025-04-15T00:00:00"/>
        <d v="2025-04-16T00:00:00"/>
        <d v="2025-04-03T00:00:00"/>
        <d v="2025-04-21T00:00:00"/>
        <d v="2025-04-22T00:00:00"/>
        <d v="2025-04-23T00:00:00"/>
        <d v="2025-03-06T00:00:00"/>
        <d v="2025-04-25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6-12T00:00:00"/>
        <d v="2025-05-09T00:00:00"/>
        <d v="2025-05-12T00:00:00"/>
        <d v="2025-05-13T00:00:00"/>
        <d v="2025-05-14T00:00:00"/>
        <d v="2025-02-06T00:00:00"/>
        <d v="2025-05-16T00:00:00"/>
        <d v="2025-05-19T00:00:00"/>
        <d v="2025-05-20T00:00:00"/>
        <d v="2025-05-21T00:00:00"/>
        <d v="2025-06-19T00:00:00"/>
        <d v="2025-05-23T00:00:00"/>
        <d v="2025-05-26T00:00:00"/>
        <d v="2025-05-27T00:00:00"/>
        <d v="2025-05-28T00:00:00"/>
        <d v="2025-01-02T00:00:00"/>
        <d v="2025-05-30T00:00:00"/>
        <d v="2025-06-02T00:00:00"/>
        <d v="2025-06-03T00:00:00"/>
        <d v="2025-06-04T00:00:00"/>
        <d v="2025-02-13T00:00:00"/>
        <d v="2025-06-06T00:00:00"/>
        <d v="2025-06-09T00:00:00"/>
        <d v="2025-06-10T00:00:00"/>
        <d v="2025-06-11T00:00:00"/>
        <d v="2025-01-09T00:00:00"/>
        <d v="2025-06-13T00:00:00"/>
        <d v="2025-06-16T00:00:00"/>
        <d v="2025-06-17T00:00:00"/>
        <d v="2025-06-18T00:00:00"/>
        <d v="2025-01-16T00:00:00"/>
        <d v="2025-06-20T00:00:00"/>
        <d v="2025-06-23T00:00:00"/>
        <d v="2025-06-24T00:00:00"/>
        <d v="2025-06-25T00:00:00"/>
        <d v="2025-02-20T00:00:00"/>
        <d v="2025-06-27T00:00:00"/>
        <d v="2025-06-30T00:00:00"/>
        <d v="2025-07-01T00:00:00"/>
        <d v="2025-07-02T00:00:00"/>
        <d v="2025-06-05T00:00:00"/>
        <d v="2025-07-04T00:00:00"/>
        <d v="2025-07-07T00:00:00"/>
        <d v="2025-07-08T00:00:00"/>
        <d v="2025-07-09T00:00:00"/>
        <d v="2025-04-17T00:00:00"/>
        <d v="2025-07-11T00:00:00"/>
        <d v="2025-07-14T00:00:00"/>
        <d v="2025-07-15T00:00:00"/>
        <d v="2025-07-16T00:00:00"/>
        <d v="2025-04-24T00:00:00"/>
        <d v="2025-07-18T00:00:00"/>
        <d v="2025-07-21T00:00:00"/>
        <d v="2025-07-22T00:00:00"/>
        <d v="2025-07-23T00:00:00"/>
        <d v="2025-01-23T00:00:00"/>
        <d v="2025-07-25T00:00:00"/>
        <d v="2025-07-28T00:00:00"/>
        <d v="2025-07-29T00:00:00"/>
        <d v="2025-07-30T00:00:00"/>
        <d v="2025-05-15T00:00:00"/>
        <d v="2025-08-01T00:00:00"/>
        <d v="2025-08-04T00:00:00"/>
        <d v="2025-08-05T00:00:00"/>
        <d v="2025-08-06T00:00:00"/>
        <d v="2025-05-29T00:00:00"/>
        <d v="2025-08-08T00:00:00"/>
        <d v="2025-08-11T00:00:00"/>
        <d v="2025-08-12T00:00:00"/>
        <d v="2025-08-13T00:00:00"/>
        <d v="2025-05-22T00:00:00"/>
        <d v="2025-08-18T00:00:00"/>
        <d v="2025-08-19T00:00:00"/>
        <d v="2025-08-20T00:00:00"/>
        <d v="2025-01-30T00:00:00"/>
        <d v="2025-08-22T00:00:00"/>
        <d v="2025-08-25T00:00:00"/>
        <d v="2025-08-26T00:00:00"/>
        <d v="2025-05-0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</sharedItems>
      <fieldGroup par="12"/>
    </cacheField>
    <cacheField name="Day" numFmtId="15">
      <sharedItems count="6">
        <s v="Wed"/>
        <s v="Thu"/>
        <s v="Fri"/>
        <s v="Mon"/>
        <s v="Tue"/>
        <s v="Sat"/>
      </sharedItems>
    </cacheField>
    <cacheField name="Open " numFmtId="0">
      <sharedItems containsSemiMixedTypes="0" containsString="0" containsNumber="1" minValue="21758.400000000001" maxValue="26325.8"/>
    </cacheField>
    <cacheField name="High " numFmtId="0">
      <sharedItems containsSemiMixedTypes="0" containsString="0" containsNumber="1" minValue="22105.05" maxValue="26325.8"/>
    </cacheField>
    <cacheField name="Low " numFmtId="0">
      <sharedItems containsSemiMixedTypes="0" containsString="0" containsNumber="1" minValue="21743.65" maxValue="26172.400000000001"/>
    </cacheField>
    <cacheField name="Close " numFmtId="0">
      <sharedItems containsSemiMixedTypes="0" containsString="0" containsNumber="1" minValue="22082.65" maxValue="26215.55"/>
    </cacheField>
    <cacheField name="DAY AV. VIX" numFmtId="2">
      <sharedItems containsSemiMixedTypes="0" containsString="0" containsNumber="1" minValue="9.1887500000000006" maxValue="21.596874999999997"/>
    </cacheField>
    <cacheField name="H-L" numFmtId="0">
      <sharedItems containsSemiMixedTypes="0" containsString="0" containsNumber="1" minValue="71.150000000001455" maxValue="621.79999999999927"/>
    </cacheField>
    <cacheField name="H-O" numFmtId="0">
      <sharedItems containsSemiMixedTypes="0" containsString="0" containsNumber="1" minValue="0" maxValue="524.70000000000073"/>
    </cacheField>
    <cacheField name="O-L" numFmtId="0">
      <sharedItems containsSemiMixedTypes="0" containsString="0" containsNumber="1" minValue="0" maxValue="493.89999999999782"/>
    </cacheField>
    <cacheField name="O-C" numFmtId="0">
      <sharedItems containsSemiMixedTypes="0" containsString="0" containsNumber="1" minValue="2.0500000000029104" maxValue="504.60000000000218"/>
    </cacheField>
    <cacheField name="Days (Date )" numFmtId="0" databaseField="0">
      <fieldGroup base="0">
        <rangePr groupBy="days" startDate="2025-01-01T00:00:00" endDate="2026-01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Date )" numFmtId="0" databaseField="0">
      <fieldGroup base="0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s v="Wed"/>
    <n v="23637.65"/>
    <n v="23822.799999999999"/>
    <n v="23562.799999999999"/>
    <n v="23742.9"/>
    <n v="14.52375"/>
    <n v="260"/>
    <n v="185.14999999999782"/>
    <n v="74.850000000002183"/>
    <n v="105.25"/>
  </r>
  <r>
    <x v="1"/>
    <s v="Thu"/>
    <n v="25243.3"/>
    <n v="25246.25"/>
    <n v="25018.7"/>
    <n v="25062.1"/>
    <n v="10.551875000000001"/>
    <n v="227.54999999999927"/>
    <n v="2.9500000000007276"/>
    <n v="224.59999999999854"/>
    <n v="181.20000000000073"/>
  </r>
  <r>
    <x v="2"/>
    <s v="Fri"/>
    <n v="24196.400000000001"/>
    <n v="24196.45"/>
    <n v="23976"/>
    <n v="24004.75"/>
    <n v="13.62"/>
    <n v="220.45000000000073"/>
    <n v="4.9999999999272404E-2"/>
    <n v="220.40000000000146"/>
    <n v="191.65000000000146"/>
  </r>
  <r>
    <x v="3"/>
    <s v="Mon"/>
    <n v="24045.8"/>
    <n v="24089.95"/>
    <n v="23551.9"/>
    <n v="23616.05"/>
    <n v="14.6625"/>
    <n v="538.04999999999927"/>
    <n v="44.150000000001455"/>
    <n v="493.89999999999782"/>
    <n v="429.75"/>
  </r>
  <r>
    <x v="4"/>
    <s v="Tue"/>
    <n v="23679.9"/>
    <n v="23795.200000000001"/>
    <n v="23637.8"/>
    <n v="23707.9"/>
    <n v="15.076250000000002"/>
    <n v="157.40000000000146"/>
    <n v="115.29999999999927"/>
    <n v="42.100000000002183"/>
    <n v="28"/>
  </r>
  <r>
    <x v="5"/>
    <s v="Wed"/>
    <n v="23746.65"/>
    <n v="23751.85"/>
    <n v="23496.15"/>
    <n v="23688.95"/>
    <n v="14.524999999999999"/>
    <n v="255.69999999999709"/>
    <n v="5.1999999999970896"/>
    <n v="250.5"/>
    <n v="57.700000000000728"/>
  </r>
  <r>
    <x v="6"/>
    <s v="Thu"/>
    <n v="25230.75"/>
    <n v="25238.35"/>
    <n v="25101"/>
    <n v="25111.45"/>
    <n v="11.1875"/>
    <n v="137.34999999999854"/>
    <n v="7.5999999999985448"/>
    <n v="129.75"/>
    <n v="119.29999999999927"/>
  </r>
  <r>
    <x v="7"/>
    <s v="Fri"/>
    <n v="23551.9"/>
    <n v="23596.6"/>
    <n v="23344.35"/>
    <n v="23431.5"/>
    <n v="14.936249999999999"/>
    <n v="252.25"/>
    <n v="44.69999999999709"/>
    <n v="207.55000000000291"/>
    <n v="120.40000000000146"/>
  </r>
  <r>
    <x v="8"/>
    <s v="Mon"/>
    <n v="23195.4"/>
    <n v="23340.95"/>
    <n v="23047.25"/>
    <n v="23085.95"/>
    <n v="15.386875"/>
    <n v="293.70000000000073"/>
    <n v="145.54999999999927"/>
    <n v="148.15000000000146"/>
    <n v="109.45000000000073"/>
  </r>
  <r>
    <x v="9"/>
    <s v="Tue"/>
    <n v="23165.9"/>
    <n v="23264.95"/>
    <n v="23134.15"/>
    <n v="23176.05"/>
    <n v="15.645"/>
    <n v="130.79999999999927"/>
    <n v="99.049999999999272"/>
    <n v="31.75"/>
    <n v="10.149999999997817"/>
  </r>
  <r>
    <x v="10"/>
    <s v="Wed"/>
    <n v="23250.45"/>
    <n v="23293.65"/>
    <n v="23146.45"/>
    <n v="23213.200000000001"/>
    <n v="15.396875"/>
    <n v="147.20000000000073"/>
    <n v="43.200000000000728"/>
    <n v="104"/>
    <n v="37.25"/>
  </r>
  <r>
    <x v="11"/>
    <s v="Thu"/>
    <n v="25142"/>
    <n v="25153.65"/>
    <n v="25054.9"/>
    <n v="25083.75"/>
    <n v="11.28375"/>
    <n v="98.75"/>
    <n v="11.650000000001455"/>
    <n v="87.099999999998545"/>
    <n v="58.25"/>
  </r>
  <r>
    <x v="12"/>
    <s v="Fri"/>
    <n v="23277.1"/>
    <n v="23292.1"/>
    <n v="23100.35"/>
    <n v="23203.200000000001"/>
    <n v="15.411875"/>
    <n v="191.75"/>
    <n v="15"/>
    <n v="176.75"/>
    <n v="73.899999999997817"/>
  </r>
  <r>
    <x v="13"/>
    <s v="Mon"/>
    <n v="23290.400000000001"/>
    <n v="23391.1"/>
    <n v="23170.65"/>
    <n v="23344.75"/>
    <n v="16.091249999999999"/>
    <n v="220.44999999999709"/>
    <n v="100.69999999999709"/>
    <n v="119.75"/>
    <n v="54.349999999998545"/>
  </r>
  <r>
    <x v="14"/>
    <s v="Tue"/>
    <n v="23421.65"/>
    <n v="23426.3"/>
    <n v="22976.85"/>
    <n v="23024.65"/>
    <n v="16.529375000000002"/>
    <n v="449.45000000000073"/>
    <n v="4.6499999999978172"/>
    <n v="444.80000000000291"/>
    <n v="397"/>
  </r>
  <r>
    <x v="15"/>
    <s v="Wed"/>
    <n v="23099.15"/>
    <n v="23169.55"/>
    <n v="22981.3"/>
    <n v="23155.35"/>
    <n v="16.756875000000001"/>
    <n v="188.25"/>
    <n v="70.399999999997817"/>
    <n v="117.85000000000218"/>
    <n v="56.19999999999709"/>
  </r>
  <r>
    <x v="16"/>
    <s v="Thu"/>
    <n v="24642.25"/>
    <n v="24956.5"/>
    <n v="24635"/>
    <n v="24768.35"/>
    <n v="11.5175"/>
    <n v="321.5"/>
    <n v="314.25"/>
    <n v="7.25"/>
    <n v="126.09999999999854"/>
  </r>
  <r>
    <x v="17"/>
    <s v="Fri"/>
    <n v="23183.9"/>
    <n v="23347.3"/>
    <n v="23050"/>
    <n v="23092.2"/>
    <n v="16.716874999999998"/>
    <n v="297.29999999999927"/>
    <n v="163.39999999999782"/>
    <n v="133.90000000000146"/>
    <n v="91.700000000000728"/>
  </r>
  <r>
    <x v="18"/>
    <s v="Mon"/>
    <n v="22940.15"/>
    <n v="23007.45"/>
    <n v="22786.9"/>
    <n v="22829.15"/>
    <n v="17.536250000000003"/>
    <n v="220.54999999999927"/>
    <n v="67.299999999999272"/>
    <n v="153.25"/>
    <n v="111"/>
  </r>
  <r>
    <x v="19"/>
    <s v="Tue"/>
    <n v="22960.45"/>
    <n v="23137.95"/>
    <n v="22857.65"/>
    <n v="22957.25"/>
    <n v="17.914375"/>
    <n v="280.29999999999927"/>
    <n v="177.5"/>
    <n v="102.79999999999927"/>
    <n v="3.2000000000007276"/>
  </r>
  <r>
    <x v="20"/>
    <s v="Wed"/>
    <n v="23026.75"/>
    <n v="23183.35"/>
    <n v="22976.5"/>
    <n v="23163.1"/>
    <n v="18.283124999999998"/>
    <n v="206.84999999999854"/>
    <n v="156.59999999999854"/>
    <n v="50.25"/>
    <n v="136.34999999999854"/>
  </r>
  <r>
    <x v="21"/>
    <s v="Thu"/>
    <n v="25511.65"/>
    <n v="25524.05"/>
    <n v="25340.45"/>
    <n v="25355.25"/>
    <n v="11.852499999999999"/>
    <n v="183.59999999999854"/>
    <n v="12.399999999997817"/>
    <n v="171.20000000000073"/>
    <n v="156.40000000000146"/>
  </r>
  <r>
    <x v="22"/>
    <s v="Fri"/>
    <n v="23296.75"/>
    <n v="23546.799999999999"/>
    <n v="23277.4"/>
    <n v="23508.400000000001"/>
    <n v="16.921875"/>
    <n v="269.39999999999782"/>
    <n v="250.04999999999927"/>
    <n v="19.349999999998545"/>
    <n v="211.65000000000146"/>
  </r>
  <r>
    <x v="23"/>
    <s v="Sat"/>
    <n v="23528.6"/>
    <n v="23632.45"/>
    <n v="23318.3"/>
    <n v="23482.15"/>
    <n v="15.233750000000001"/>
    <n v="314.15000000000146"/>
    <n v="103.85000000000218"/>
    <n v="210.29999999999927"/>
    <n v="46.44999999999709"/>
  </r>
  <r>
    <x v="24"/>
    <s v="Mon"/>
    <n v="23319.35"/>
    <n v="23381.599999999999"/>
    <n v="23222"/>
    <n v="23361.05"/>
    <n v="14.41375"/>
    <n v="159.59999999999854"/>
    <n v="62.25"/>
    <n v="97.349999999998545"/>
    <n v="41.700000000000728"/>
  </r>
  <r>
    <x v="25"/>
    <s v="Tue"/>
    <n v="23509.9"/>
    <n v="23762.75"/>
    <n v="23423.15"/>
    <n v="23739.25"/>
    <n v="14.291874999999999"/>
    <n v="339.59999999999854"/>
    <n v="252.84999999999854"/>
    <n v="86.75"/>
    <n v="229.34999999999854"/>
  </r>
  <r>
    <x v="26"/>
    <s v="Wed"/>
    <n v="23801.75"/>
    <n v="23807.3"/>
    <n v="23680.45"/>
    <n v="23696.3"/>
    <n v="13.973749999999999"/>
    <n v="126.84999999999854"/>
    <n v="5.5499999999992724"/>
    <n v="121.29999999999927"/>
    <n v="105.45000000000073"/>
  </r>
  <r>
    <x v="27"/>
    <s v="Thu"/>
    <n v="24464.2"/>
    <n v="24634.2"/>
    <n v="24344.15"/>
    <n v="24596.15"/>
    <n v="11.878124999999999"/>
    <n v="290.04999999999927"/>
    <n v="170"/>
    <n v="120.04999999999927"/>
    <n v="131.95000000000073"/>
  </r>
  <r>
    <x v="28"/>
    <s v="Fri"/>
    <n v="23649.5"/>
    <n v="23694.5"/>
    <n v="23443.200000000001"/>
    <n v="23559.95"/>
    <n v="13.978750000000002"/>
    <n v="251.29999999999927"/>
    <n v="45"/>
    <n v="206.29999999999927"/>
    <n v="89.549999999999272"/>
  </r>
  <r>
    <x v="29"/>
    <s v="Mon"/>
    <n v="23543.8"/>
    <n v="23568.6"/>
    <n v="23316.3"/>
    <n v="23381.599999999999"/>
    <n v="14.133125"/>
    <n v="252.29999999999927"/>
    <n v="24.799999999999272"/>
    <n v="227.5"/>
    <n v="162.20000000000073"/>
  </r>
  <r>
    <x v="30"/>
    <s v="Tue"/>
    <n v="23383.55"/>
    <n v="23390.05"/>
    <n v="22986.65"/>
    <n v="23071.8"/>
    <n v="14.648124999999999"/>
    <n v="403.39999999999782"/>
    <n v="6.5"/>
    <n v="396.89999999999782"/>
    <n v="311.75"/>
  </r>
  <r>
    <x v="31"/>
    <s v="Wed"/>
    <n v="23050.799999999999"/>
    <n v="23144.7"/>
    <n v="22798.35"/>
    <n v="23045.25"/>
    <n v="14.998750000000001"/>
    <n v="346.35000000000218"/>
    <n v="93.900000000001455"/>
    <n v="252.45000000000073"/>
    <n v="5.5499999999992724"/>
  </r>
  <r>
    <x v="32"/>
    <s v="Thu"/>
    <n v="24607.25"/>
    <n v="24673.65"/>
    <n v="24596.9"/>
    <n v="24631.3"/>
    <n v="12.110624999999999"/>
    <n v="76.75"/>
    <n v="66.400000000001455"/>
    <n v="10.349999999998545"/>
    <n v="24.049999999999272"/>
  </r>
  <r>
    <x v="33"/>
    <s v="Fri"/>
    <n v="23096.45"/>
    <n v="23133.7"/>
    <n v="22774.85"/>
    <n v="22929.25"/>
    <n v="15.001250000000001"/>
    <n v="358.85000000000218"/>
    <n v="37.25"/>
    <n v="321.60000000000218"/>
    <n v="167.20000000000073"/>
  </r>
  <r>
    <x v="34"/>
    <s v="Mon"/>
    <n v="22809.9"/>
    <n v="22974.2"/>
    <n v="22725.45"/>
    <n v="22959.5"/>
    <n v="15.38625"/>
    <n v="248.75"/>
    <n v="164.29999999999927"/>
    <n v="84.450000000000728"/>
    <n v="149.59999999999854"/>
  </r>
  <r>
    <x v="35"/>
    <s v="Tue"/>
    <n v="22963.65"/>
    <n v="22992.5"/>
    <n v="22801.5"/>
    <n v="22945.3"/>
    <n v="15.6225"/>
    <n v="191"/>
    <n v="28.849999999998545"/>
    <n v="162.15000000000146"/>
    <n v="18.350000000002183"/>
  </r>
  <r>
    <x v="36"/>
    <s v="Wed"/>
    <n v="22847.25"/>
    <n v="23049.95"/>
    <n v="22814.85"/>
    <n v="22932.9"/>
    <n v="15.465"/>
    <n v="235.10000000000218"/>
    <n v="202.70000000000073"/>
    <n v="32.400000000001455"/>
    <n v="85.650000000001455"/>
  </r>
  <r>
    <x v="37"/>
    <s v="Thu"/>
    <n v="24695.8"/>
    <n v="24702.65"/>
    <n v="24481.599999999999"/>
    <n v="24500.9"/>
    <n v="12.273124999999999"/>
    <n v="221.05000000000291"/>
    <n v="6.8500000000021828"/>
    <n v="214.20000000000073"/>
    <n v="194.89999999999782"/>
  </r>
  <r>
    <x v="38"/>
    <s v="Fri"/>
    <n v="22857.200000000001"/>
    <n v="22921"/>
    <n v="22720.3"/>
    <n v="22795.9"/>
    <n v="14.134374999999999"/>
    <n v="200.70000000000073"/>
    <n v="63.799999999999272"/>
    <n v="136.90000000000146"/>
    <n v="61.299999999999272"/>
  </r>
  <r>
    <x v="39"/>
    <s v="Mon"/>
    <n v="22609.35"/>
    <n v="22668.05"/>
    <n v="22518.799999999999"/>
    <n v="22553.35"/>
    <n v="14.72875"/>
    <n v="149.25"/>
    <n v="58.700000000000728"/>
    <n v="90.549999999999272"/>
    <n v="56"/>
  </r>
  <r>
    <x v="40"/>
    <s v="Tue"/>
    <n v="22516.45"/>
    <n v="22625.3"/>
    <n v="22513.9"/>
    <n v="22547.55"/>
    <n v="14.21125"/>
    <n v="111.39999999999782"/>
    <n v="108.84999999999854"/>
    <n v="2.5499999999992724"/>
    <n v="31.099999999998545"/>
  </r>
  <r>
    <x v="41"/>
    <s v="Thu"/>
    <n v="25505.1"/>
    <n v="25587.5"/>
    <n v="25384.35"/>
    <n v="25405.3"/>
    <n v="12.421250000000001"/>
    <n v="203.15000000000146"/>
    <n v="82.400000000001455"/>
    <n v="120.75"/>
    <n v="99.799999999999272"/>
  </r>
  <r>
    <x v="42"/>
    <s v="Fri"/>
    <n v="22433.4"/>
    <n v="22450.35"/>
    <n v="22104.85"/>
    <n v="22124.7"/>
    <n v="13.643125000000001"/>
    <n v="345.5"/>
    <n v="16.94999999999709"/>
    <n v="328.55000000000291"/>
    <n v="308.70000000000073"/>
  </r>
  <r>
    <x v="43"/>
    <s v="Mon"/>
    <n v="22194.55"/>
    <n v="22261.55"/>
    <n v="22004.7"/>
    <n v="22119.3"/>
    <n v="13.899374999999999"/>
    <n v="256.84999999999854"/>
    <n v="67"/>
    <n v="189.84999999999854"/>
    <n v="75.25"/>
  </r>
  <r>
    <x v="44"/>
    <s v="Tue"/>
    <n v="21974.45"/>
    <n v="22105.05"/>
    <n v="21964.6"/>
    <n v="22082.65"/>
    <n v="13.790625"/>
    <n v="140.45000000000073"/>
    <n v="130.59999999999854"/>
    <n v="9.8500000000021828"/>
    <n v="108.20000000000073"/>
  </r>
  <r>
    <x v="45"/>
    <s v="Wed"/>
    <n v="22073.05"/>
    <n v="22394.9"/>
    <n v="22067.8"/>
    <n v="22337.3"/>
    <n v="13.68125"/>
    <n v="327.10000000000218"/>
    <n v="321.85000000000218"/>
    <n v="5.25"/>
    <n v="264.25"/>
  </r>
  <r>
    <x v="46"/>
    <s v="Thu"/>
    <n v="25268.95"/>
    <n v="25565.3"/>
    <n v="25259.9"/>
    <n v="25549"/>
    <n v="12.849375000000002"/>
    <n v="305.39999999999782"/>
    <n v="296.34999999999854"/>
    <n v="9.0499999999992724"/>
    <n v="280.04999999999927"/>
  </r>
  <r>
    <x v="47"/>
    <s v="Fri"/>
    <n v="22508.65"/>
    <n v="22633.8"/>
    <n v="22464.75"/>
    <n v="22552.5"/>
    <n v="13.596875000000001"/>
    <n v="169.04999999999927"/>
    <n v="125.14999999999782"/>
    <n v="43.900000000001455"/>
    <n v="43.849999999998545"/>
  </r>
  <r>
    <x v="48"/>
    <s v="Mon"/>
    <n v="22521.85"/>
    <n v="22676.75"/>
    <n v="22429.05"/>
    <n v="22460.3"/>
    <n v="13.784375000000001"/>
    <n v="247.70000000000073"/>
    <n v="154.90000000000146"/>
    <n v="92.799999999999272"/>
    <n v="61.549999999999272"/>
  </r>
  <r>
    <x v="49"/>
    <s v="Tue"/>
    <n v="22345.95"/>
    <n v="22522.1"/>
    <n v="22314.7"/>
    <n v="22497.9"/>
    <n v="14.058124999999999"/>
    <n v="207.39999999999782"/>
    <n v="176.14999999999782"/>
    <n v="31.25"/>
    <n v="151.95000000000073"/>
  </r>
  <r>
    <x v="50"/>
    <s v="Wed"/>
    <n v="22536.35"/>
    <n v="22577.4"/>
    <n v="22329.55"/>
    <n v="22470.5"/>
    <n v="13.942499999999999"/>
    <n v="247.85000000000218"/>
    <n v="41.05000000000291"/>
    <n v="206.79999999999927"/>
    <n v="65.849999999998545"/>
  </r>
  <r>
    <x v="51"/>
    <s v="Thu"/>
    <n v="23036.6"/>
    <n v="23216.7"/>
    <n v="22973.95"/>
    <n v="23190.65"/>
    <n v="12.926875000000001"/>
    <n v="242.75"/>
    <n v="180.10000000000218"/>
    <n v="62.649999999997817"/>
    <n v="154.05000000000291"/>
  </r>
  <r>
    <x v="52"/>
    <s v="Mon"/>
    <n v="22353.15"/>
    <n v="22577"/>
    <n v="22353.15"/>
    <n v="22508.75"/>
    <n v="13.519375"/>
    <n v="223.84999999999854"/>
    <n v="223.84999999999854"/>
    <n v="0"/>
    <n v="155.59999999999854"/>
  </r>
  <r>
    <x v="53"/>
    <s v="Tue"/>
    <n v="22662.25"/>
    <n v="22857.8"/>
    <n v="22599.200000000001"/>
    <n v="22834.3"/>
    <n v="12.904999999999999"/>
    <n v="258.59999999999854"/>
    <n v="195.54999999999927"/>
    <n v="63.049999999999272"/>
    <n v="172.04999999999927"/>
  </r>
  <r>
    <x v="54"/>
    <s v="Wed"/>
    <n v="22874.95"/>
    <n v="22940.7"/>
    <n v="22807.95"/>
    <n v="22907.599999999999"/>
    <n v="13.166875000000001"/>
    <n v="132.75"/>
    <n v="65.75"/>
    <n v="67"/>
    <n v="32.649999999997817"/>
  </r>
  <r>
    <x v="55"/>
    <s v="Thu"/>
    <n v="23433.95"/>
    <n v="23646.45"/>
    <n v="23412.2"/>
    <n v="23591.95"/>
    <n v="13.399374999999999"/>
    <n v="234.25"/>
    <n v="212.5"/>
    <n v="21.75"/>
    <n v="158"/>
  </r>
  <r>
    <x v="56"/>
    <s v="Fri"/>
    <n v="23168.25"/>
    <n v="23402.7"/>
    <n v="23132.799999999999"/>
    <n v="23350.400000000001"/>
    <n v="12.178125"/>
    <n v="269.90000000000146"/>
    <n v="234.45000000000073"/>
    <n v="35.450000000000728"/>
    <n v="182.15000000000146"/>
  </r>
  <r>
    <x v="57"/>
    <s v="Mon"/>
    <n v="23515.4"/>
    <n v="23708.75"/>
    <n v="23433.5"/>
    <n v="23658.35"/>
    <n v="13.200624999999999"/>
    <n v="275.25"/>
    <n v="193.34999999999854"/>
    <n v="81.900000000001455"/>
    <n v="142.94999999999709"/>
  </r>
  <r>
    <x v="58"/>
    <s v="Tue"/>
    <n v="23751.5"/>
    <n v="23869.599999999999"/>
    <n v="23601.4"/>
    <n v="23668.65"/>
    <n v="13.82625"/>
    <n v="268.19999999999709"/>
    <n v="118.09999999999854"/>
    <n v="150.09999999999854"/>
    <n v="82.849999999998545"/>
  </r>
  <r>
    <x v="59"/>
    <s v="Wed"/>
    <n v="23700.95"/>
    <n v="23736.5"/>
    <n v="23451.7"/>
    <n v="23486.85"/>
    <n v="13.581249999999999"/>
    <n v="284.79999999999927"/>
    <n v="35.549999999999272"/>
    <n v="249.25"/>
    <n v="214.10000000000218"/>
  </r>
  <r>
    <x v="60"/>
    <s v="Thu"/>
    <n v="22568.95"/>
    <n v="22613.3"/>
    <n v="22508.400000000001"/>
    <n v="22545.05"/>
    <n v="13.485625000000001"/>
    <n v="104.89999999999782"/>
    <n v="44.349999999998545"/>
    <n v="60.549999999999272"/>
    <n v="23.900000000001455"/>
  </r>
  <r>
    <x v="61"/>
    <s v="Fri"/>
    <n v="23600.400000000001"/>
    <n v="23649.200000000001"/>
    <n v="23450.2"/>
    <n v="23519.35"/>
    <n v="13.050625"/>
    <n v="199"/>
    <n v="48.799999999999272"/>
    <n v="150.20000000000073"/>
    <n v="81.05000000000291"/>
  </r>
  <r>
    <x v="62"/>
    <s v="Tue"/>
    <n v="23341.1"/>
    <n v="23565.15"/>
    <n v="23136.400000000001"/>
    <n v="23165.7"/>
    <n v="13.316875"/>
    <n v="428.75"/>
    <n v="224.05000000000291"/>
    <n v="204.69999999999709"/>
    <n v="175.39999999999782"/>
  </r>
  <r>
    <x v="63"/>
    <s v="Wed"/>
    <n v="23192.6"/>
    <n v="23350"/>
    <n v="23158.45"/>
    <n v="23332.35"/>
    <n v="13.789375"/>
    <n v="191.54999999999927"/>
    <n v="157.40000000000146"/>
    <n v="34.149999999997817"/>
    <n v="139.75"/>
  </r>
  <r>
    <x v="64"/>
    <s v="Thu"/>
    <n v="22541.5"/>
    <n v="22558.05"/>
    <n v="22377.35"/>
    <n v="22397.200000000001"/>
    <n v="13.530625000000001"/>
    <n v="180.70000000000073"/>
    <n v="16.549999999999272"/>
    <n v="164.15000000000146"/>
    <n v="144.29999999999927"/>
  </r>
  <r>
    <x v="65"/>
    <s v="Fri"/>
    <n v="23190.400000000001"/>
    <n v="23214.7"/>
    <n v="22857.45"/>
    <n v="22904.45"/>
    <n v="13.750624999999999"/>
    <n v="357.25"/>
    <n v="24.299999999999272"/>
    <n v="332.95000000000073"/>
    <n v="285.95000000000073"/>
  </r>
  <r>
    <x v="66"/>
    <s v="Mon"/>
    <n v="21758.400000000001"/>
    <n v="22254"/>
    <n v="21743.65"/>
    <n v="22161.599999999999"/>
    <n v="18.371875000000003"/>
    <n v="510.34999999999854"/>
    <n v="495.59999999999854"/>
    <n v="14.75"/>
    <n v="403.19999999999709"/>
  </r>
  <r>
    <x v="67"/>
    <s v="Tue"/>
    <n v="22446.75"/>
    <n v="22697.200000000001"/>
    <n v="22270.85"/>
    <n v="22535.85"/>
    <n v="21.351875"/>
    <n v="426.35000000000218"/>
    <n v="250.45000000000073"/>
    <n v="175.90000000000146"/>
    <n v="89.099999999998545"/>
  </r>
  <r>
    <x v="68"/>
    <s v="Wed"/>
    <n v="22460.3"/>
    <n v="22468.7"/>
    <n v="22353.25"/>
    <n v="22399.15"/>
    <n v="20.829374999999999"/>
    <n v="115.45000000000073"/>
    <n v="8.4000000000014552"/>
    <n v="107.04999999999927"/>
    <n v="61.149999999997817"/>
  </r>
  <r>
    <x v="69"/>
    <s v="Fri"/>
    <n v="22695.4"/>
    <n v="22923.9"/>
    <n v="22695.4"/>
    <n v="22828.55"/>
    <n v="20.456250000000001"/>
    <n v="228.5"/>
    <n v="228.5"/>
    <n v="0"/>
    <n v="133.14999999999782"/>
  </r>
  <r>
    <x v="70"/>
    <s v="Tue"/>
    <n v="23368.35"/>
    <n v="23368.35"/>
    <n v="23207"/>
    <n v="23328.55"/>
    <n v="18.079374999999999"/>
    <n v="161.34999999999854"/>
    <n v="0"/>
    <n v="161.34999999999854"/>
    <n v="39.799999999999272"/>
  </r>
  <r>
    <x v="71"/>
    <s v="Wed"/>
    <n v="23344.1"/>
    <n v="23452.2"/>
    <n v="23273.05"/>
    <n v="23437.200000000001"/>
    <n v="15.80875"/>
    <n v="179.15000000000146"/>
    <n v="108.10000000000218"/>
    <n v="71.049999999999272"/>
    <n v="93.100000000002183"/>
  </r>
  <r>
    <x v="72"/>
    <s v="Thu"/>
    <n v="23150.3"/>
    <n v="23306.5"/>
    <n v="23145.8"/>
    <n v="23250.1"/>
    <n v="13.709999999999999"/>
    <n v="160.70000000000073"/>
    <n v="156.20000000000073"/>
    <n v="4.5"/>
    <n v="99.799999999999272"/>
  </r>
  <r>
    <x v="73"/>
    <s v="Mon"/>
    <n v="23949.15"/>
    <n v="24189.55"/>
    <n v="23903.65"/>
    <n v="24125.55"/>
    <n v="15.384374999999999"/>
    <n v="285.89999999999782"/>
    <n v="240.39999999999782"/>
    <n v="45.5"/>
    <n v="176.39999999999782"/>
  </r>
  <r>
    <x v="74"/>
    <s v="Tue"/>
    <n v="24185.4"/>
    <n v="24242.6"/>
    <n v="24072"/>
    <n v="24167.25"/>
    <n v="15.323125000000001"/>
    <n v="170.59999999999854"/>
    <n v="57.19999999999709"/>
    <n v="113.40000000000146"/>
    <n v="18.150000000001455"/>
  </r>
  <r>
    <x v="75"/>
    <s v="Wed"/>
    <n v="24357.599999999999"/>
    <n v="24359.3"/>
    <n v="24119.95"/>
    <n v="24328.95"/>
    <n v="15.137499999999999"/>
    <n v="239.34999999999854"/>
    <n v="1.7000000000007276"/>
    <n v="237.64999999999782"/>
    <n v="28.649999999997817"/>
  </r>
  <r>
    <x v="76"/>
    <s v="Thu"/>
    <n v="22476.35"/>
    <n v="22556.45"/>
    <n v="22245.85"/>
    <n v="22544.7"/>
    <n v="13.714375"/>
    <n v="310.60000000000218"/>
    <n v="80.100000000002183"/>
    <n v="230.5"/>
    <n v="68.350000000002183"/>
  </r>
  <r>
    <x v="77"/>
    <s v="Fri"/>
    <n v="24289"/>
    <n v="24365.45"/>
    <n v="23847.85"/>
    <n v="24039.35"/>
    <n v="16.725000000000001"/>
    <n v="517.60000000000218"/>
    <n v="76.450000000000728"/>
    <n v="441.15000000000146"/>
    <n v="249.65000000000146"/>
  </r>
  <r>
    <x v="78"/>
    <s v="Mon"/>
    <n v="24070.25"/>
    <n v="24355.1"/>
    <n v="24054.05"/>
    <n v="24328.5"/>
    <n v="17.198125000000001"/>
    <n v="301.04999999999927"/>
    <n v="284.84999999999854"/>
    <n v="16.200000000000728"/>
    <n v="258.25"/>
  </r>
  <r>
    <x v="79"/>
    <s v="Tue"/>
    <n v="24370.7"/>
    <n v="24457.65"/>
    <n v="24290.75"/>
    <n v="24335.95"/>
    <n v="16.990000000000002"/>
    <n v="166.90000000000146"/>
    <n v="86.950000000000728"/>
    <n v="79.950000000000728"/>
    <n v="34.75"/>
  </r>
  <r>
    <x v="80"/>
    <s v="Wed"/>
    <n v="24342.05"/>
    <n v="24396.15"/>
    <n v="24198.75"/>
    <n v="24334.2"/>
    <n v="17.533749999999998"/>
    <n v="197.40000000000146"/>
    <n v="54.100000000002183"/>
    <n v="143.29999999999927"/>
    <n v="7.8499999999985448"/>
  </r>
  <r>
    <x v="81"/>
    <s v="Fri"/>
    <n v="24311.9"/>
    <n v="24589.15"/>
    <n v="24238.5"/>
    <n v="24346.7"/>
    <n v="18.173750000000002"/>
    <n v="350.65000000000146"/>
    <n v="277.25"/>
    <n v="73.400000000001455"/>
    <n v="34.799999999999272"/>
  </r>
  <r>
    <x v="82"/>
    <s v="Mon"/>
    <n v="24419.5"/>
    <n v="24526.400000000001"/>
    <n v="24400.65"/>
    <n v="24461.15"/>
    <n v="18.365000000000002"/>
    <n v="125.75"/>
    <n v="106.90000000000146"/>
    <n v="18.849999999998545"/>
    <n v="41.650000000001455"/>
  </r>
  <r>
    <x v="83"/>
    <s v="Tue"/>
    <n v="24500.75"/>
    <n v="24509.65"/>
    <n v="24331.8"/>
    <n v="24379.599999999999"/>
    <n v="18.656874999999999"/>
    <n v="177.85000000000218"/>
    <n v="8.9000000000014552"/>
    <n v="168.95000000000073"/>
    <n v="121.15000000000146"/>
  </r>
  <r>
    <x v="84"/>
    <s v="Wed"/>
    <n v="24233.3"/>
    <n v="24449.599999999999"/>
    <n v="24220"/>
    <n v="24414.400000000001"/>
    <n v="19.037500000000001"/>
    <n v="229.59999999999854"/>
    <n v="216.29999999999927"/>
    <n v="13.299999999999272"/>
    <n v="181.10000000000218"/>
  </r>
  <r>
    <x v="85"/>
    <s v="Thu"/>
    <n v="25164.45"/>
    <n v="25196.2"/>
    <n v="24825.9"/>
    <n v="24888.2"/>
    <n v="13.772500000000001"/>
    <n v="370.29999999999927"/>
    <n v="31.75"/>
    <n v="338.54999999999927"/>
    <n v="276.25"/>
  </r>
  <r>
    <x v="86"/>
    <s v="Fri"/>
    <n v="23935.75"/>
    <n v="24164.25"/>
    <n v="23935.75"/>
    <n v="24008"/>
    <n v="21.596874999999997"/>
    <n v="228.5"/>
    <n v="228.5"/>
    <n v="0"/>
    <n v="72.25"/>
  </r>
  <r>
    <x v="87"/>
    <s v="Mon"/>
    <n v="24420.1"/>
    <n v="24944.799999999999"/>
    <n v="24378.85"/>
    <n v="24924.7"/>
    <n v="19.715624999999999"/>
    <n v="565.95000000000073"/>
    <n v="524.70000000000073"/>
    <n v="41.25"/>
    <n v="504.60000000000218"/>
  </r>
  <r>
    <x v="88"/>
    <s v="Tue"/>
    <n v="24864.05"/>
    <n v="24973.8"/>
    <n v="24547.5"/>
    <n v="24578.35"/>
    <n v="18.346875000000001"/>
    <n v="426.29999999999927"/>
    <n v="109.75"/>
    <n v="316.54999999999927"/>
    <n v="285.70000000000073"/>
  </r>
  <r>
    <x v="89"/>
    <s v="Wed"/>
    <n v="24613.8"/>
    <n v="24767.55"/>
    <n v="24535.55"/>
    <n v="24666.9"/>
    <n v="17.938749999999999"/>
    <n v="232"/>
    <n v="153.75"/>
    <n v="78.25"/>
    <n v="53.100000000002183"/>
  </r>
  <r>
    <x v="90"/>
    <s v="Thu"/>
    <n v="23761.95"/>
    <n v="23773.55"/>
    <n v="23556.25"/>
    <n v="23603.35"/>
    <n v="14.011875"/>
    <n v="217.29999999999927"/>
    <n v="11.599999999998545"/>
    <n v="205.70000000000073"/>
    <n v="158.60000000000218"/>
  </r>
  <r>
    <x v="91"/>
    <s v="Fri"/>
    <n v="25064.65"/>
    <n v="25070"/>
    <n v="24953.05"/>
    <n v="25019.8"/>
    <n v="16.678124999999998"/>
    <n v="116.95000000000073"/>
    <n v="5.3499999999985448"/>
    <n v="111.60000000000218"/>
    <n v="44.850000000002183"/>
  </r>
  <r>
    <x v="92"/>
    <s v="Mon"/>
    <n v="25005.35"/>
    <n v="25062.95"/>
    <n v="24916.65"/>
    <n v="24945.45"/>
    <n v="16.796250000000001"/>
    <n v="146.29999999999927"/>
    <n v="57.600000000002183"/>
    <n v="88.69999999999709"/>
    <n v="59.899999999997817"/>
  </r>
  <r>
    <x v="93"/>
    <s v="Tue"/>
    <n v="24996.2"/>
    <n v="25010.35"/>
    <n v="24669.7"/>
    <n v="24683.9"/>
    <n v="17.093125000000001"/>
    <n v="340.64999999999782"/>
    <n v="14.149999999997817"/>
    <n v="326.5"/>
    <n v="312.29999999999927"/>
  </r>
  <r>
    <x v="94"/>
    <s v="Wed"/>
    <n v="24744.25"/>
    <n v="24946.2"/>
    <n v="24685.35"/>
    <n v="24813.45"/>
    <n v="17.493749999999999"/>
    <n v="260.85000000000218"/>
    <n v="201.95000000000073"/>
    <n v="58.900000000001455"/>
    <n v="69.200000000000728"/>
  </r>
  <r>
    <x v="95"/>
    <s v="Thu"/>
    <n v="24803.25"/>
    <n v="24863.1"/>
    <n v="24733.4"/>
    <n v="24793.25"/>
    <n v="14.161249999999999"/>
    <n v="129.69999999999709"/>
    <n v="59.849999999998545"/>
    <n v="69.849999999998545"/>
    <n v="10"/>
  </r>
  <r>
    <x v="96"/>
    <s v="Fri"/>
    <n v="24639.5"/>
    <n v="24909.05"/>
    <n v="24614.05"/>
    <n v="24853.15"/>
    <n v="16.88625"/>
    <n v="295"/>
    <n v="269.54999999999927"/>
    <n v="25.450000000000728"/>
    <n v="213.65000000000146"/>
  </r>
  <r>
    <x v="97"/>
    <s v="Mon"/>
    <n v="24919.35"/>
    <n v="25079.200000000001"/>
    <n v="24900.5"/>
    <n v="25001.15"/>
    <n v="17.441875"/>
    <n v="178.70000000000073"/>
    <n v="159.85000000000218"/>
    <n v="18.849999999998545"/>
    <n v="81.80000000000291"/>
  </r>
  <r>
    <x v="98"/>
    <s v="Tue"/>
    <n v="24956.65"/>
    <n v="25062.9"/>
    <n v="24704.1"/>
    <n v="24826.2"/>
    <n v="18.291249999999998"/>
    <n v="358.80000000000291"/>
    <n v="106.25"/>
    <n v="252.55000000000291"/>
    <n v="130.45000000000073"/>
  </r>
  <r>
    <x v="99"/>
    <s v="Wed"/>
    <n v="24832.5"/>
    <n v="24864.25"/>
    <n v="24737.05"/>
    <n v="24752.45"/>
    <n v="18.366250000000001"/>
    <n v="127.20000000000073"/>
    <n v="31.75"/>
    <n v="95.450000000000728"/>
    <n v="80.049999999999272"/>
  </r>
  <r>
    <x v="100"/>
    <s v="Thu"/>
    <n v="23783"/>
    <n v="24226.7"/>
    <n v="23751.55"/>
    <n v="24188.65"/>
    <n v="14.169375000000002"/>
    <n v="475.15000000000146"/>
    <n v="443.70000000000073"/>
    <n v="31.450000000000728"/>
    <n v="405.65000000000146"/>
  </r>
  <r>
    <x v="101"/>
    <s v="Fri"/>
    <n v="24812.6"/>
    <n v="24863.95"/>
    <n v="24717.4"/>
    <n v="24750.7"/>
    <n v="16.083125000000003"/>
    <n v="146.54999999999927"/>
    <n v="51.350000000002183"/>
    <n v="95.19999999999709"/>
    <n v="61.899999999997817"/>
  </r>
  <r>
    <x v="102"/>
    <s v="Mon"/>
    <n v="24669.7"/>
    <n v="24754.400000000001"/>
    <n v="24526.15"/>
    <n v="24716.6"/>
    <n v="16.760625000000001"/>
    <n v="228.25"/>
    <n v="84.700000000000728"/>
    <n v="143.54999999999927"/>
    <n v="46.899999999997817"/>
  </r>
  <r>
    <x v="103"/>
    <s v="Tue"/>
    <n v="24786.3"/>
    <n v="24845.1"/>
    <n v="24502.15"/>
    <n v="24542.5"/>
    <n v="16.925625"/>
    <n v="342.94999999999709"/>
    <n v="58.799999999999272"/>
    <n v="284.14999999999782"/>
    <n v="243.79999999999927"/>
  </r>
  <r>
    <x v="104"/>
    <s v="Wed"/>
    <n v="24560.45"/>
    <n v="24644.25"/>
    <n v="24530.45"/>
    <n v="24620.2"/>
    <n v="16.248750000000001"/>
    <n v="113.79999999999927"/>
    <n v="83.799999999999272"/>
    <n v="30"/>
    <n v="59.75"/>
  </r>
  <r>
    <x v="105"/>
    <s v="Thu"/>
    <n v="23055.75"/>
    <n v="23235.5"/>
    <n v="22992.2"/>
    <n v="23031.4"/>
    <n v="14.3775"/>
    <n v="243.29999999999927"/>
    <n v="179.75"/>
    <n v="63.549999999999272"/>
    <n v="24.349999999998545"/>
  </r>
  <r>
    <x v="106"/>
    <s v="Fri"/>
    <n v="24748.7"/>
    <n v="25029.5"/>
    <n v="24671.45"/>
    <n v="25003.05"/>
    <n v="14.922500000000001"/>
    <n v="358.04999999999927"/>
    <n v="280.79999999999927"/>
    <n v="77.25"/>
    <n v="254.34999999999854"/>
  </r>
  <r>
    <x v="107"/>
    <s v="Mon"/>
    <n v="25160.1"/>
    <n v="25160.1"/>
    <n v="25077.15"/>
    <n v="25103.200000000001"/>
    <n v="14.8675"/>
    <n v="82.94999999999709"/>
    <n v="0"/>
    <n v="82.94999999999709"/>
    <n v="56.899999999997817"/>
  </r>
  <r>
    <x v="108"/>
    <s v="Tue"/>
    <n v="25196.05"/>
    <n v="25199.3"/>
    <n v="25055.45"/>
    <n v="25104.25"/>
    <n v="14.346250000000001"/>
    <n v="143.84999999999854"/>
    <n v="3.25"/>
    <n v="140.59999999999854"/>
    <n v="91.799999999999272"/>
  </r>
  <r>
    <x v="109"/>
    <s v="Wed"/>
    <n v="25134.15"/>
    <n v="25222.400000000001"/>
    <n v="25081.3"/>
    <n v="25141.4"/>
    <n v="13.849375"/>
    <n v="141.10000000000218"/>
    <n v="88.25"/>
    <n v="52.850000000002183"/>
    <n v="7.25"/>
  </r>
  <r>
    <x v="110"/>
    <s v="Thu"/>
    <n v="23674.75"/>
    <n v="23689.5"/>
    <n v="23503.05"/>
    <n v="23526.5"/>
    <n v="14.438750000000001"/>
    <n v="186.45000000000073"/>
    <n v="14.75"/>
    <n v="171.70000000000073"/>
    <n v="148.25"/>
  </r>
  <r>
    <x v="111"/>
    <s v="Fri"/>
    <n v="24473"/>
    <n v="24754.35"/>
    <n v="24473"/>
    <n v="24718.6"/>
    <n v="14.77125"/>
    <n v="281.34999999999854"/>
    <n v="281.34999999999854"/>
    <n v="0"/>
    <n v="245.59999999999854"/>
  </r>
  <r>
    <x v="112"/>
    <s v="Mon"/>
    <n v="24732.35"/>
    <n v="24967.1"/>
    <n v="24703.599999999999"/>
    <n v="24946.5"/>
    <n v="14.986250000000002"/>
    <n v="263.5"/>
    <n v="234.75"/>
    <n v="28.75"/>
    <n v="214.15000000000146"/>
  </r>
  <r>
    <x v="113"/>
    <s v="Tue"/>
    <n v="24977.85"/>
    <n v="24982.05"/>
    <n v="24813.7"/>
    <n v="24853.4"/>
    <n v="14.639999999999999"/>
    <n v="168.34999999999854"/>
    <n v="4.2000000000007276"/>
    <n v="164.14999999999782"/>
    <n v="124.44999999999709"/>
  </r>
  <r>
    <x v="114"/>
    <s v="Wed"/>
    <n v="24788.35"/>
    <n v="24947.55"/>
    <n v="24750.45"/>
    <n v="24812.05"/>
    <n v="14.401250000000001"/>
    <n v="197.09999999999854"/>
    <n v="159.20000000000073"/>
    <n v="37.899999999997817"/>
    <n v="23.700000000000728"/>
  </r>
  <r>
    <x v="115"/>
    <s v="Thu"/>
    <n v="23377.25"/>
    <n v="23391.65"/>
    <n v="23272.05"/>
    <n v="23311.8"/>
    <n v="15.063124999999999"/>
    <n v="119.60000000000218"/>
    <n v="14.400000000001455"/>
    <n v="105.20000000000073"/>
    <n v="65.450000000000728"/>
  </r>
  <r>
    <x v="116"/>
    <s v="Fri"/>
    <n v="24787.65"/>
    <n v="25136.2"/>
    <n v="24783.65"/>
    <n v="25112.400000000001"/>
    <n v="13.875625000000001"/>
    <n v="352.54999999999927"/>
    <n v="348.54999999999927"/>
    <n v="4"/>
    <n v="324.75"/>
  </r>
  <r>
    <x v="117"/>
    <s v="Mon"/>
    <n v="24939.75"/>
    <n v="25057"/>
    <n v="24824.85"/>
    <n v="24971.9"/>
    <n v="13.976875"/>
    <n v="232.15000000000146"/>
    <n v="117.25"/>
    <n v="114.90000000000146"/>
    <n v="32.150000000001455"/>
  </r>
  <r>
    <x v="118"/>
    <s v="Tue"/>
    <n v="25179.9"/>
    <n v="25317.7"/>
    <n v="24999.7"/>
    <n v="25044.35"/>
    <n v="13.834375"/>
    <n v="318"/>
    <n v="137.79999999999927"/>
    <n v="180.20000000000073"/>
    <n v="135.55000000000291"/>
  </r>
  <r>
    <x v="119"/>
    <s v="Wed"/>
    <n v="25150.35"/>
    <n v="25266.799999999999"/>
    <n v="25125.05"/>
    <n v="25244.75"/>
    <n v="13.286250000000001"/>
    <n v="141.75"/>
    <n v="116.45000000000073"/>
    <n v="25.299999999999272"/>
    <n v="94.400000000001455"/>
  </r>
  <r>
    <x v="120"/>
    <s v="Thu"/>
    <n v="22821.1"/>
    <n v="22923.85"/>
    <n v="22812.75"/>
    <n v="22913.15"/>
    <n v="15.160624999999998"/>
    <n v="111.09999999999854"/>
    <n v="102.75"/>
    <n v="8.3499999999985448"/>
    <n v="92.05000000000291"/>
  </r>
  <r>
    <x v="121"/>
    <s v="Fri"/>
    <n v="25576.65"/>
    <n v="25654.2"/>
    <n v="25523.55"/>
    <n v="25637.8"/>
    <n v="12.55625"/>
    <n v="130.65000000000146"/>
    <n v="77.549999999999272"/>
    <n v="53.100000000002183"/>
    <n v="61.149999999997817"/>
  </r>
  <r>
    <x v="122"/>
    <s v="Mon"/>
    <n v="25661.65"/>
    <n v="25669.35"/>
    <n v="25473.3"/>
    <n v="25517.05"/>
    <n v="12.648124999999999"/>
    <n v="196.04999999999927"/>
    <n v="7.6999999999970896"/>
    <n v="188.35000000000218"/>
    <n v="144.60000000000218"/>
  </r>
  <r>
    <x v="123"/>
    <s v="Tue"/>
    <n v="25551.35"/>
    <n v="25593.4"/>
    <n v="25501.8"/>
    <n v="25541.8"/>
    <n v="12.686250000000001"/>
    <n v="91.600000000002183"/>
    <n v="42.05000000000291"/>
    <n v="49.549999999999272"/>
    <n v="9.5499999999992724"/>
  </r>
  <r>
    <x v="124"/>
    <s v="Wed"/>
    <n v="25588.3"/>
    <n v="25608.1"/>
    <n v="25378.75"/>
    <n v="25453.4"/>
    <n v="12.495000000000001"/>
    <n v="229.34999999999854"/>
    <n v="19.799999999999272"/>
    <n v="209.54999999999927"/>
    <n v="134.89999999999782"/>
  </r>
  <r>
    <x v="125"/>
    <s v="Thu"/>
    <n v="24691.200000000001"/>
    <n v="24899.85"/>
    <n v="24613.1"/>
    <n v="24750.9"/>
    <n v="15.434999999999999"/>
    <n v="286.75"/>
    <n v="208.64999999999782"/>
    <n v="78.100000000002183"/>
    <n v="59.700000000000728"/>
  </r>
  <r>
    <x v="126"/>
    <s v="Fri"/>
    <n v="25428.85"/>
    <n v="25470.25"/>
    <n v="25331.65"/>
    <n v="25461"/>
    <n v="12.410625"/>
    <n v="138.59999999999854"/>
    <n v="41.400000000001455"/>
    <n v="97.19999999999709"/>
    <n v="32.150000000001455"/>
  </r>
  <r>
    <x v="127"/>
    <s v="Mon"/>
    <n v="25450.45"/>
    <n v="25489.8"/>
    <n v="25407.25"/>
    <n v="25461.3"/>
    <n v="12.401249999999999"/>
    <n v="82.549999999999272"/>
    <n v="39.349999999998545"/>
    <n v="43.200000000000728"/>
    <n v="10.849999999998545"/>
  </r>
  <r>
    <x v="128"/>
    <s v="Tue"/>
    <n v="25427.85"/>
    <n v="25548.05"/>
    <n v="25424.15"/>
    <n v="25522.5"/>
    <n v="12.381250000000001"/>
    <n v="123.89999999999782"/>
    <n v="120.20000000000073"/>
    <n v="3.6999999999970896"/>
    <n v="94.650000000001455"/>
  </r>
  <r>
    <x v="129"/>
    <s v="Wed"/>
    <n v="25514.6"/>
    <n v="25548.7"/>
    <n v="25424.35"/>
    <n v="25476.1"/>
    <n v="12.059999999999999"/>
    <n v="124.35000000000218"/>
    <n v="34.100000000002183"/>
    <n v="90.25"/>
    <n v="38.5"/>
  </r>
  <r>
    <x v="130"/>
    <s v="Thu"/>
    <n v="23401.85"/>
    <n v="23872.35"/>
    <n v="23298.55"/>
    <n v="23851.65"/>
    <n v="15.721875000000001"/>
    <n v="573.79999999999927"/>
    <n v="470.5"/>
    <n v="103.29999999999927"/>
    <n v="449.80000000000291"/>
  </r>
  <r>
    <x v="131"/>
    <s v="Fri"/>
    <n v="25255.5"/>
    <n v="25322.45"/>
    <n v="25129"/>
    <n v="25149.85"/>
    <n v="11.7875"/>
    <n v="193.45000000000073"/>
    <n v="66.950000000000728"/>
    <n v="126.5"/>
    <n v="105.65000000000146"/>
  </r>
  <r>
    <x v="132"/>
    <s v="Mon"/>
    <n v="25149.5"/>
    <n v="25151.1"/>
    <n v="25001.95"/>
    <n v="25082.3"/>
    <n v="12.008749999999999"/>
    <n v="149.14999999999782"/>
    <n v="1.5999999999985448"/>
    <n v="147.54999999999927"/>
    <n v="67.200000000000728"/>
  </r>
  <r>
    <x v="133"/>
    <s v="Tue"/>
    <n v="25089.5"/>
    <n v="25245.200000000001"/>
    <n v="25088.45"/>
    <n v="25195.8"/>
    <n v="11.7225"/>
    <n v="156.75"/>
    <n v="155.70000000000073"/>
    <n v="1.0499999999992724"/>
    <n v="106.29999999999927"/>
  </r>
  <r>
    <x v="134"/>
    <s v="Wed"/>
    <n v="25196.6"/>
    <n v="25255.3"/>
    <n v="25121.05"/>
    <n v="25212.05"/>
    <n v="11.39625"/>
    <n v="134.25"/>
    <n v="58.700000000000728"/>
    <n v="75.549999999999272"/>
    <n v="15.450000000000728"/>
  </r>
  <r>
    <x v="135"/>
    <s v="Thu"/>
    <n v="24277.9"/>
    <n v="24347.85"/>
    <n v="24216.15"/>
    <n v="24246.7"/>
    <n v="16.131250000000001"/>
    <n v="131.69999999999709"/>
    <n v="69.94999999999709"/>
    <n v="61.75"/>
    <n v="31.200000000000728"/>
  </r>
  <r>
    <x v="136"/>
    <s v="Fri"/>
    <n v="25108.55"/>
    <n v="25144.6"/>
    <n v="24918.65"/>
    <n v="24968.400000000001"/>
    <n v="11.098125"/>
    <n v="225.94999999999709"/>
    <n v="36.049999999999272"/>
    <n v="189.89999999999782"/>
    <n v="140.14999999999782"/>
  </r>
  <r>
    <x v="137"/>
    <s v="Mon"/>
    <n v="24999"/>
    <n v="25111.4"/>
    <n v="24882.3"/>
    <n v="25090.7"/>
    <n v="11.405625000000001"/>
    <n v="229.10000000000218"/>
    <n v="112.40000000000146"/>
    <n v="116.70000000000073"/>
    <n v="91.700000000000728"/>
  </r>
  <r>
    <x v="138"/>
    <s v="Tue"/>
    <n v="25166.65"/>
    <n v="25182"/>
    <n v="25035.55"/>
    <n v="25060.9"/>
    <n v="10.966875"/>
    <n v="146.45000000000073"/>
    <n v="15.349999999998545"/>
    <n v="131.10000000000218"/>
    <n v="105.75"/>
  </r>
  <r>
    <x v="139"/>
    <s v="Wed"/>
    <n v="25139.35"/>
    <n v="25233.5"/>
    <n v="25085.5"/>
    <n v="25219.9"/>
    <n v="10.561250000000001"/>
    <n v="148"/>
    <n v="94.150000000001455"/>
    <n v="53.849999999998545"/>
    <n v="80.55000000000291"/>
  </r>
  <r>
    <x v="140"/>
    <s v="Thu"/>
    <n v="23128.3"/>
    <n v="23270.799999999999"/>
    <n v="23090.65"/>
    <n v="23205.35"/>
    <n v="16.554375"/>
    <n v="180.14999999999782"/>
    <n v="142.5"/>
    <n v="37.649999999997817"/>
    <n v="77.049999999999272"/>
  </r>
  <r>
    <x v="141"/>
    <s v="Fri"/>
    <n v="25010.35"/>
    <n v="25010.35"/>
    <n v="24806.35"/>
    <n v="24837"/>
    <n v="11.049375000000001"/>
    <n v="204"/>
    <n v="0"/>
    <n v="204"/>
    <n v="173.34999999999854"/>
  </r>
  <r>
    <x v="142"/>
    <s v="Mon"/>
    <n v="24782.45"/>
    <n v="24889.200000000001"/>
    <n v="24646.6"/>
    <n v="24680.9"/>
    <n v="11.4725"/>
    <n v="242.60000000000218"/>
    <n v="106.75"/>
    <n v="135.85000000000218"/>
    <n v="101.54999999999927"/>
  </r>
  <r>
    <x v="143"/>
    <s v="Tue"/>
    <n v="24609.65"/>
    <n v="24847.15"/>
    <n v="24598.6"/>
    <n v="24821.1"/>
    <n v="11.823125000000001"/>
    <n v="248.55000000000291"/>
    <n v="237.5"/>
    <n v="11.05000000000291"/>
    <n v="211.44999999999709"/>
  </r>
  <r>
    <x v="144"/>
    <s v="Wed"/>
    <n v="24890.400000000001"/>
    <n v="24902.3"/>
    <n v="24771.95"/>
    <n v="24855.05"/>
    <n v="11.280625000000001"/>
    <n v="130.34999999999854"/>
    <n v="11.899999999997817"/>
    <n v="118.45000000000073"/>
    <n v="35.350000000002183"/>
  </r>
  <r>
    <x v="145"/>
    <s v="Thu"/>
    <n v="24694.45"/>
    <n v="25116.25"/>
    <n v="24494.45"/>
    <n v="25062.1"/>
    <n v="17.126874999999998"/>
    <n v="621.79999999999927"/>
    <n v="421.79999999999927"/>
    <n v="200"/>
    <n v="367.64999999999782"/>
  </r>
  <r>
    <x v="146"/>
    <s v="Fri"/>
    <n v="24734.9"/>
    <n v="24784.15"/>
    <n v="24535.05"/>
    <n v="24565.35"/>
    <n v="11.758749999999999"/>
    <n v="249.10000000000218"/>
    <n v="49.25"/>
    <n v="199.85000000000218"/>
    <n v="169.55000000000291"/>
  </r>
  <r>
    <x v="147"/>
    <s v="Mon"/>
    <n v="24596.05"/>
    <n v="24736.25"/>
    <n v="24554"/>
    <n v="24722.75"/>
    <n v="12.094374999999999"/>
    <n v="182.25"/>
    <n v="140.20000000000073"/>
    <n v="42.049999999999272"/>
    <n v="126.70000000000073"/>
  </r>
  <r>
    <x v="148"/>
    <s v="Tue"/>
    <n v="24720.25"/>
    <n v="24733.1"/>
    <n v="24590.3"/>
    <n v="24649.55"/>
    <n v="11.873749999999999"/>
    <n v="142.79999999999927"/>
    <n v="12.849999999998545"/>
    <n v="129.95000000000073"/>
    <n v="70.700000000000728"/>
  </r>
  <r>
    <x v="149"/>
    <s v="Wed"/>
    <n v="24641.35"/>
    <n v="24671.4"/>
    <n v="24539.200000000001"/>
    <n v="24574.2"/>
    <n v="11.594374999999999"/>
    <n v="132.20000000000073"/>
    <n v="30.05000000000291"/>
    <n v="102.14999999999782"/>
    <n v="67.149999999997817"/>
  </r>
  <r>
    <x v="150"/>
    <s v="Thu"/>
    <n v="24825.1"/>
    <n v="24892.6"/>
    <n v="24677.3"/>
    <n v="24833.599999999999"/>
    <n v="17.165624999999999"/>
    <n v="215.29999999999927"/>
    <n v="67.5"/>
    <n v="147.79999999999927"/>
    <n v="8.5"/>
  </r>
  <r>
    <x v="151"/>
    <s v="Fri"/>
    <n v="24544.25"/>
    <n v="24585.5"/>
    <n v="24337.5"/>
    <n v="24363.3"/>
    <n v="11.703125"/>
    <n v="248"/>
    <n v="41.25"/>
    <n v="206.75"/>
    <n v="180.95000000000073"/>
  </r>
  <r>
    <x v="152"/>
    <s v="Mon"/>
    <n v="24371.5"/>
    <n v="24600.85"/>
    <n v="24347.45"/>
    <n v="24585.05"/>
    <n v="12.25375"/>
    <n v="253.39999999999782"/>
    <n v="229.34999999999854"/>
    <n v="24.049999999999272"/>
    <n v="213.54999999999927"/>
  </r>
  <r>
    <x v="153"/>
    <s v="Tue"/>
    <n v="24563.35"/>
    <n v="24702.6"/>
    <n v="24465.65"/>
    <n v="24487.4"/>
    <n v="12.116250000000001"/>
    <n v="236.94999999999709"/>
    <n v="139.25"/>
    <n v="97.69999999999709"/>
    <n v="75.94999999999709"/>
  </r>
  <r>
    <x v="154"/>
    <s v="Wed"/>
    <n v="24586.2"/>
    <n v="24664.55"/>
    <n v="24535.25"/>
    <n v="24619.35"/>
    <n v="11.875624999999999"/>
    <n v="129.29999999999927"/>
    <n v="78.349999999998545"/>
    <n v="50.950000000000728"/>
    <n v="33.149999999997817"/>
  </r>
  <r>
    <x v="155"/>
    <s v="Thu"/>
    <n v="24733.95"/>
    <n v="24737.5"/>
    <n v="24462.400000000001"/>
    <n v="24609.7"/>
    <n v="17.428750000000001"/>
    <n v="275.09999999999854"/>
    <n v="3.5499999999992724"/>
    <n v="271.54999999999927"/>
    <n v="124.25"/>
  </r>
  <r>
    <x v="156"/>
    <s v="Mon"/>
    <n v="24938.2"/>
    <n v="25022"/>
    <n v="24852.85"/>
    <n v="24876.95"/>
    <n v="12.477499999999999"/>
    <n v="169.15000000000146"/>
    <n v="83.799999999999272"/>
    <n v="85.350000000002183"/>
    <n v="61.25"/>
  </r>
  <r>
    <x v="157"/>
    <s v="Tue"/>
    <n v="24891.35"/>
    <n v="25012.65"/>
    <n v="24873.95"/>
    <n v="24980.65"/>
    <n v="12.057499999999999"/>
    <n v="138.70000000000073"/>
    <n v="121.30000000000291"/>
    <n v="17.399999999997817"/>
    <n v="89.30000000000291"/>
  </r>
  <r>
    <x v="158"/>
    <s v="Wed"/>
    <n v="24965.8"/>
    <n v="25088.7"/>
    <n v="24929.7"/>
    <n v="25050.55"/>
    <n v="11.438750000000001"/>
    <n v="159"/>
    <n v="122.90000000000146"/>
    <n v="36.099999999998545"/>
    <n v="84.75"/>
  </r>
  <r>
    <x v="159"/>
    <s v="Thu"/>
    <n v="23169.5"/>
    <n v="23322.05"/>
    <n v="23139.200000000001"/>
    <n v="23249.5"/>
    <n v="18.058125"/>
    <n v="182.84999999999854"/>
    <n v="152.54999999999927"/>
    <n v="30.299999999999272"/>
    <n v="80"/>
  </r>
  <r>
    <x v="160"/>
    <s v="Fri"/>
    <n v="25064.15"/>
    <n v="25084.85"/>
    <n v="24859.15"/>
    <n v="24870.1"/>
    <n v="11.395624999999999"/>
    <n v="225.69999999999709"/>
    <n v="20.69999999999709"/>
    <n v="205"/>
    <n v="194.05000000000291"/>
  </r>
  <r>
    <x v="161"/>
    <s v="Mon"/>
    <n v="24949.15"/>
    <n v="25021.55"/>
    <n v="24894.35"/>
    <n v="24967.75"/>
    <n v="11.844999999999999"/>
    <n v="127.20000000000073"/>
    <n v="72.399999999997817"/>
    <n v="54.80000000000291"/>
    <n v="18.599999999998545"/>
  </r>
  <r>
    <x v="162"/>
    <s v="Tue"/>
    <n v="24899.5"/>
    <n v="24919.65"/>
    <n v="24689.599999999999"/>
    <n v="24712.05"/>
    <n v="11.855625"/>
    <n v="230.05000000000291"/>
    <n v="20.150000000001455"/>
    <n v="209.90000000000146"/>
    <n v="187.45000000000073"/>
  </r>
  <r>
    <x v="163"/>
    <s v="Thu"/>
    <n v="24431.5"/>
    <n v="24447.25"/>
    <n v="24150.2"/>
    <n v="24273.8"/>
    <n v="20.028750000000002"/>
    <n v="297.04999999999927"/>
    <n v="15.75"/>
    <n v="281.29999999999927"/>
    <n v="157.70000000000073"/>
  </r>
  <r>
    <x v="164"/>
    <s v="Fri"/>
    <n v="24466.7"/>
    <n v="24572.45"/>
    <n v="24404.7"/>
    <n v="24426.85"/>
    <n v="11.930625000000001"/>
    <n v="167.75"/>
    <n v="105.75"/>
    <n v="62"/>
    <n v="39.850000000002183"/>
  </r>
  <r>
    <x v="165"/>
    <s v="Mon"/>
    <n v="24432.7"/>
    <n v="24635.599999999999"/>
    <n v="24432.7"/>
    <n v="24625.05"/>
    <n v="11.618124999999999"/>
    <n v="202.89999999999782"/>
    <n v="202.89999999999782"/>
    <n v="0"/>
    <n v="192.34999999999854"/>
  </r>
  <r>
    <x v="166"/>
    <s v="Tue"/>
    <n v="24653"/>
    <n v="24756.1"/>
    <n v="24522.35"/>
    <n v="24579.599999999999"/>
    <n v="11.313750000000001"/>
    <n v="233.75"/>
    <n v="103.09999999999854"/>
    <n v="130.65000000000146"/>
    <n v="73.400000000001455"/>
  </r>
  <r>
    <x v="167"/>
    <s v="Wed"/>
    <n v="24616.5"/>
    <n v="24737.05"/>
    <n v="24533.200000000001"/>
    <n v="24715.05"/>
    <n v="11.189375"/>
    <n v="203.84999999999854"/>
    <n v="120.54999999999927"/>
    <n v="83.299999999999272"/>
    <n v="98.549999999999272"/>
  </r>
  <r>
    <x v="168"/>
    <s v="Thu"/>
    <n v="24980.75"/>
    <n v="24980.75"/>
    <n v="24708.2"/>
    <n v="24734.3"/>
    <n v="10.8775"/>
    <n v="272.54999999999927"/>
    <n v="0"/>
    <n v="272.54999999999927"/>
    <n v="246.45000000000073"/>
  </r>
  <r>
    <x v="169"/>
    <s v="Fri"/>
    <n v="24818.85"/>
    <n v="24832.35"/>
    <n v="24621.599999999999"/>
    <n v="24741"/>
    <n v="10.755000000000001"/>
    <n v="210.75"/>
    <n v="13.5"/>
    <n v="197.25"/>
    <n v="77.849999999998545"/>
  </r>
  <r>
    <x v="170"/>
    <s v="Mon"/>
    <n v="24802.6"/>
    <n v="24885.5"/>
    <n v="24751.55"/>
    <n v="24773.15"/>
    <n v="10.780625000000001"/>
    <n v="133.95000000000073"/>
    <n v="82.900000000001455"/>
    <n v="51.049999999999272"/>
    <n v="29.44999999999709"/>
  </r>
  <r>
    <x v="171"/>
    <s v="Tue"/>
    <n v="24864.1"/>
    <n v="24891.8"/>
    <n v="24814"/>
    <n v="24868.6"/>
    <n v="10.7075"/>
    <n v="77.799999999999272"/>
    <n v="27.700000000000728"/>
    <n v="50.099999999998545"/>
    <n v="4.5"/>
  </r>
  <r>
    <x v="172"/>
    <s v="Wed"/>
    <n v="24991"/>
    <n v="25035.7"/>
    <n v="24915.05"/>
    <n v="24973.1"/>
    <n v="10.578125"/>
    <n v="120.65000000000146"/>
    <n v="44.700000000000728"/>
    <n v="75.950000000000728"/>
    <n v="17.900000000001455"/>
  </r>
  <r>
    <x v="173"/>
    <s v="Thu"/>
    <n v="24945.5"/>
    <n v="25037.3"/>
    <n v="24940.15"/>
    <n v="25005.5"/>
    <n v="10.464374999999999"/>
    <n v="97.149999999997817"/>
    <n v="91.799999999999272"/>
    <n v="5.3499999999985448"/>
    <n v="60"/>
  </r>
  <r>
    <x v="174"/>
    <s v="Fri"/>
    <n v="25074.45"/>
    <n v="25139.45"/>
    <n v="25038.05"/>
    <n v="25114"/>
    <n v="10.172499999999999"/>
    <n v="101.40000000000146"/>
    <n v="65"/>
    <n v="36.400000000001455"/>
    <n v="39.549999999999272"/>
  </r>
  <r>
    <x v="175"/>
    <s v="Mon"/>
    <n v="25118.9"/>
    <n v="25138.45"/>
    <n v="25048.75"/>
    <n v="25069.200000000001"/>
    <n v="10.276875"/>
    <n v="89.700000000000728"/>
    <n v="19.549999999999272"/>
    <n v="70.150000000001455"/>
    <n v="49.700000000000728"/>
  </r>
  <r>
    <x v="176"/>
    <s v="Tue"/>
    <n v="25073.599999999999"/>
    <n v="25261.4"/>
    <n v="25070.45"/>
    <n v="25239.1"/>
    <n v="10.230625"/>
    <n v="190.95000000000073"/>
    <n v="187.80000000000291"/>
    <n v="3.1499999999978172"/>
    <n v="165.5"/>
  </r>
  <r>
    <x v="177"/>
    <s v="Wed"/>
    <n v="25276.6"/>
    <n v="25346.5"/>
    <n v="25275.35"/>
    <n v="25330.25"/>
    <n v="10.123750000000001"/>
    <n v="71.150000000001455"/>
    <n v="69.900000000001455"/>
    <n v="1.25"/>
    <n v="53.650000000001455"/>
  </r>
  <r>
    <x v="178"/>
    <s v="Thu"/>
    <n v="25441.05"/>
    <n v="25448.55"/>
    <n v="25329.75"/>
    <n v="25423.599999999999"/>
    <n v="9.9693749999999994"/>
    <n v="118.79999999999927"/>
    <n v="7.5"/>
    <n v="111.29999999999927"/>
    <n v="17.450000000000728"/>
  </r>
  <r>
    <x v="179"/>
    <s v="Fri"/>
    <n v="25410.2"/>
    <n v="25431.4"/>
    <n v="25286.3"/>
    <n v="25327.05"/>
    <n v="9.8768750000000001"/>
    <n v="145.10000000000218"/>
    <n v="21.200000000000728"/>
    <n v="123.90000000000146"/>
    <n v="83.150000000001455"/>
  </r>
  <r>
    <x v="180"/>
    <s v="Mon"/>
    <n v="25238.1"/>
    <n v="25331.7"/>
    <n v="25151.05"/>
    <n v="25202.35"/>
    <n v="10.306875"/>
    <n v="180.65000000000146"/>
    <n v="93.600000000002183"/>
    <n v="87.049999999999272"/>
    <n v="35.75"/>
  </r>
  <r>
    <x v="181"/>
    <s v="Tue"/>
    <n v="25209"/>
    <n v="25261.9"/>
    <n v="25084.65"/>
    <n v="25169.5"/>
    <n v="10.513125"/>
    <n v="177.25"/>
    <n v="52.900000000001455"/>
    <n v="124.34999999999854"/>
    <n v="39.5"/>
  </r>
  <r>
    <x v="182"/>
    <s v="Wed"/>
    <n v="25108.75"/>
    <n v="25149.85"/>
    <n v="25027.45"/>
    <n v="25056.9"/>
    <n v="10.5375"/>
    <n v="122.39999999999782"/>
    <n v="41.099999999998545"/>
    <n v="81.299999999999272"/>
    <n v="51.849999999998545"/>
  </r>
  <r>
    <x v="183"/>
    <s v="Thu"/>
    <n v="25034.5"/>
    <n v="25092.7"/>
    <n v="24878.3"/>
    <n v="24890.85"/>
    <n v="10.62125"/>
    <n v="214.40000000000146"/>
    <n v="58.200000000000728"/>
    <n v="156.20000000000073"/>
    <n v="143.65000000000146"/>
  </r>
  <r>
    <x v="184"/>
    <s v="Fri"/>
    <n v="24818.55"/>
    <n v="24868.6"/>
    <n v="24629.45"/>
    <n v="24654.7"/>
    <n v="11.015000000000001"/>
    <n v="239.14999999999782"/>
    <n v="50.049999999999272"/>
    <n v="189.09999999999854"/>
    <n v="163.84999999999854"/>
  </r>
  <r>
    <x v="185"/>
    <s v="Mon"/>
    <n v="24728.55"/>
    <n v="24791.3"/>
    <n v="24606.2"/>
    <n v="24634.9"/>
    <n v="11.28375"/>
    <n v="185.09999999999854"/>
    <n v="62.75"/>
    <n v="122.34999999999854"/>
    <n v="93.649999999997817"/>
  </r>
  <r>
    <x v="186"/>
    <s v="Tue"/>
    <n v="24691.95"/>
    <n v="24731.8"/>
    <n v="24587.7"/>
    <n v="24611.1"/>
    <n v="11.288124999999999"/>
    <n v="144.09999999999854"/>
    <n v="39.849999999998545"/>
    <n v="104.25"/>
    <n v="80.850000000002183"/>
  </r>
  <r>
    <x v="187"/>
    <s v="Wed"/>
    <n v="24620.55"/>
    <n v="24867.95"/>
    <n v="24605.95"/>
    <n v="24836.3"/>
    <n v="10.690624999999999"/>
    <n v="262"/>
    <n v="247.40000000000146"/>
    <n v="14.599999999998545"/>
    <n v="215.75"/>
  </r>
  <r>
    <x v="188"/>
    <s v="Fri"/>
    <n v="24759.55"/>
    <n v="24904.799999999999"/>
    <n v="24747.55"/>
    <n v="24894.25"/>
    <n v="10.22875"/>
    <n v="157.25"/>
    <n v="145.25"/>
    <n v="12"/>
    <n v="134.70000000000073"/>
  </r>
  <r>
    <x v="189"/>
    <s v="Mon"/>
    <n v="24916.55"/>
    <n v="25095.95"/>
    <n v="24881.65"/>
    <n v="25077.65"/>
    <n v="10.11125"/>
    <n v="214.29999999999927"/>
    <n v="179.40000000000146"/>
    <n v="34.899999999997817"/>
    <n v="161.10000000000218"/>
  </r>
  <r>
    <x v="190"/>
    <s v="Tue"/>
    <n v="25085.3"/>
    <n v="25220.9"/>
    <n v="25076.3"/>
    <n v="25108.3"/>
    <n v="10.173124999999999"/>
    <n v="144.60000000000218"/>
    <n v="135.60000000000218"/>
    <n v="9"/>
    <n v="23"/>
  </r>
  <r>
    <x v="191"/>
    <s v="Wed"/>
    <n v="25079.75"/>
    <n v="25192.5"/>
    <n v="25008.5"/>
    <n v="25046.15"/>
    <n v="10.1425"/>
    <n v="184"/>
    <n v="112.75"/>
    <n v="71.25"/>
    <n v="33.599999999998545"/>
  </r>
  <r>
    <x v="192"/>
    <s v="Thu"/>
    <n v="25074.3"/>
    <n v="25199.25"/>
    <n v="25024.3"/>
    <n v="25181.8"/>
    <n v="10.248749999999999"/>
    <n v="174.95000000000073"/>
    <n v="124.95000000000073"/>
    <n v="50"/>
    <n v="107.5"/>
  </r>
  <r>
    <x v="193"/>
    <s v="Fri"/>
    <n v="25167.65"/>
    <n v="25330.75"/>
    <n v="25156.85"/>
    <n v="25285.35"/>
    <n v="10.068125"/>
    <n v="173.90000000000146"/>
    <n v="163.09999999999854"/>
    <n v="10.80000000000291"/>
    <n v="117.69999999999709"/>
  </r>
  <r>
    <x v="194"/>
    <s v="Mon"/>
    <n v="25177.3"/>
    <n v="25267.3"/>
    <n v="25152.3"/>
    <n v="25227.35"/>
    <n v="10.536875"/>
    <n v="115"/>
    <n v="90"/>
    <n v="25"/>
    <n v="50.049999999999272"/>
  </r>
  <r>
    <x v="195"/>
    <s v="Tue"/>
    <n v="25277.55"/>
    <n v="25310.35"/>
    <n v="25060.55"/>
    <n v="25145.5"/>
    <n v="10.961874999999999"/>
    <n v="249.79999999999927"/>
    <n v="32.799999999999272"/>
    <n v="217"/>
    <n v="132.04999999999927"/>
  </r>
  <r>
    <x v="196"/>
    <s v="Wed"/>
    <n v="25181.95"/>
    <n v="25365.15"/>
    <n v="25159.35"/>
    <n v="25323.55"/>
    <n v="10.818125"/>
    <n v="205.80000000000291"/>
    <n v="183.20000000000073"/>
    <n v="22.600000000002183"/>
    <n v="141.59999999999854"/>
  </r>
  <r>
    <x v="197"/>
    <s v="Thu"/>
    <n v="25394.9"/>
    <n v="25625.4"/>
    <n v="25376.85"/>
    <n v="25585.3"/>
    <n v="10.709999999999999"/>
    <n v="248.55000000000291"/>
    <n v="230.5"/>
    <n v="18.05000000000291"/>
    <n v="190.39999999999782"/>
  </r>
  <r>
    <x v="198"/>
    <s v="Fri"/>
    <n v="25546.85"/>
    <n v="25781.5"/>
    <n v="25508.6"/>
    <n v="25709.85"/>
    <n v="11.020000000000001"/>
    <n v="272.90000000000146"/>
    <n v="234.65000000000146"/>
    <n v="38.25"/>
    <n v="163"/>
  </r>
  <r>
    <x v="199"/>
    <s v="Mon"/>
    <n v="25824.6"/>
    <n v="25926.2"/>
    <n v="25788.5"/>
    <n v="25843.15"/>
    <n v="11.3825"/>
    <n v="137.70000000000073"/>
    <n v="101.60000000000218"/>
    <n v="36.099999999998545"/>
    <n v="18.55000000000291"/>
  </r>
  <r>
    <x v="200"/>
    <s v="Tue"/>
    <n v="25901.200000000001"/>
    <n v="25934.35"/>
    <n v="25825.8"/>
    <n v="25868.6"/>
    <n v="11.237500000000001"/>
    <n v="108.54999999999927"/>
    <n v="33.149999999997817"/>
    <n v="75.400000000001455"/>
    <n v="32.600000000002183"/>
  </r>
  <r>
    <x v="201"/>
    <s v="Thu"/>
    <n v="26057.200000000001"/>
    <n v="26104.2"/>
    <n v="25862.45"/>
    <n v="25891.4"/>
    <n v="11.453749999999999"/>
    <n v="241.75"/>
    <n v="47"/>
    <n v="194.75"/>
    <n v="165.79999999999927"/>
  </r>
  <r>
    <x v="202"/>
    <s v="Fri"/>
    <n v="25935.1"/>
    <n v="25944.15"/>
    <n v="25718.2"/>
    <n v="25795.15"/>
    <n v="11.675000000000001"/>
    <n v="225.95000000000073"/>
    <n v="9.0500000000029104"/>
    <n v="216.89999999999782"/>
    <n v="139.94999999999709"/>
  </r>
  <r>
    <x v="203"/>
    <s v="Mon"/>
    <n v="25843.200000000001"/>
    <n v="26005.95"/>
    <n v="25827"/>
    <n v="25966.05"/>
    <n v="11.86375"/>
    <n v="178.95000000000073"/>
    <n v="162.75"/>
    <n v="16.200000000000728"/>
    <n v="122.84999999999854"/>
  </r>
  <r>
    <x v="204"/>
    <s v="Tue"/>
    <n v="25939.95"/>
    <n v="26041.7"/>
    <n v="25810.05"/>
    <n v="25936.2"/>
    <n v="11.786874999999998"/>
    <n v="231.65000000000146"/>
    <n v="101.75"/>
    <n v="129.90000000000146"/>
    <n v="3.75"/>
  </r>
  <r>
    <x v="205"/>
    <s v="Wed"/>
    <n v="25982"/>
    <n v="26097.85"/>
    <n v="25960.3"/>
    <n v="26053.9"/>
    <n v="11.813124999999999"/>
    <n v="137.54999999999927"/>
    <n v="115.84999999999854"/>
    <n v="21.700000000000728"/>
    <n v="71.900000000001455"/>
  </r>
  <r>
    <x v="206"/>
    <s v="Thu"/>
    <n v="25984.400000000001"/>
    <n v="26032.05"/>
    <n v="25845.25"/>
    <n v="25877.85"/>
    <n v="12.005000000000001"/>
    <n v="186.79999999999927"/>
    <n v="47.649999999997817"/>
    <n v="139.15000000000146"/>
    <n v="106.55000000000291"/>
  </r>
  <r>
    <x v="207"/>
    <s v="Fri"/>
    <n v="25863.8"/>
    <n v="25953.75"/>
    <n v="25711.200000000001"/>
    <n v="25722.1"/>
    <n v="12.06875"/>
    <n v="242.54999999999927"/>
    <n v="89.950000000000728"/>
    <n v="152.59999999999854"/>
    <n v="141.70000000000073"/>
  </r>
  <r>
    <x v="208"/>
    <s v="Mon"/>
    <n v="25696.85"/>
    <n v="25803.1"/>
    <n v="25645.5"/>
    <n v="25763.35"/>
    <n v="12.387500000000001"/>
    <n v="157.59999999999854"/>
    <n v="106.25"/>
    <n v="51.349999999998545"/>
    <n v="66.5"/>
  </r>
  <r>
    <x v="209"/>
    <s v="Tue"/>
    <n v="25744.75"/>
    <n v="25787.4"/>
    <n v="25578.400000000001"/>
    <n v="25597.65"/>
    <n v="12.307499999999999"/>
    <n v="209"/>
    <n v="42.650000000001455"/>
    <n v="166.34999999999854"/>
    <n v="147.09999999999854"/>
  </r>
  <r>
    <x v="210"/>
    <s v="Thu"/>
    <n v="25593.35"/>
    <n v="25679.15"/>
    <n v="25491.55"/>
    <n v="25509.7"/>
    <n v="12.49625"/>
    <n v="187.60000000000218"/>
    <n v="85.80000000000291"/>
    <n v="101.79999999999927"/>
    <n v="83.649999999997817"/>
  </r>
  <r>
    <x v="211"/>
    <s v="Fri"/>
    <n v="25433.8"/>
    <n v="25551.25"/>
    <n v="25318.45"/>
    <n v="25492.3"/>
    <n v="12.39875"/>
    <n v="232.79999999999927"/>
    <n v="117.45000000000073"/>
    <n v="115.34999999999854"/>
    <n v="58.5"/>
  </r>
  <r>
    <x v="212"/>
    <s v="Mon"/>
    <n v="25503.5"/>
    <n v="25653.45"/>
    <n v="25503.5"/>
    <n v="25574.35"/>
    <n v="12.297499999999999"/>
    <n v="149.95000000000073"/>
    <n v="149.95000000000073"/>
    <n v="0"/>
    <n v="70.849999999998545"/>
  </r>
  <r>
    <x v="213"/>
    <s v="Tue"/>
    <n v="25617"/>
    <n v="25715.8"/>
    <n v="25449.25"/>
    <n v="25694.95"/>
    <n v="12.446875"/>
    <n v="266.54999999999927"/>
    <n v="98.799999999999272"/>
    <n v="167.75"/>
    <n v="77.950000000000728"/>
  </r>
  <r>
    <x v="214"/>
    <s v="Wed"/>
    <n v="25834.3"/>
    <n v="25934.55"/>
    <n v="25781.15"/>
    <n v="25875.8"/>
    <n v="12.188750000000001"/>
    <n v="153.39999999999782"/>
    <n v="100.25"/>
    <n v="53.149999999997817"/>
    <n v="41.5"/>
  </r>
  <r>
    <x v="215"/>
    <s v="Thu"/>
    <n v="25906.1"/>
    <n v="26010.7"/>
    <n v="25808.400000000001"/>
    <n v="25879.15"/>
    <n v="11.943124999999998"/>
    <n v="202.29999999999927"/>
    <n v="104.60000000000218"/>
    <n v="97.69999999999709"/>
    <n v="26.94999999999709"/>
  </r>
  <r>
    <x v="216"/>
    <s v="Fri"/>
    <n v="25767.9"/>
    <n v="25940.2"/>
    <n v="25740.799999999999"/>
    <n v="25910.05"/>
    <n v="12.0875"/>
    <n v="199.40000000000146"/>
    <n v="172.29999999999927"/>
    <n v="27.100000000002183"/>
    <n v="142.14999999999782"/>
  </r>
  <r>
    <x v="217"/>
    <s v="Mon"/>
    <n v="25948.2"/>
    <n v="26024.2"/>
    <n v="25906.35"/>
    <n v="26013.45"/>
    <n v="11.725624999999999"/>
    <n v="117.85000000000218"/>
    <n v="76"/>
    <n v="41.850000000002183"/>
    <n v="65.25"/>
  </r>
  <r>
    <x v="218"/>
    <s v="Tue"/>
    <n v="26021.8"/>
    <n v="26029.85"/>
    <n v="25876.5"/>
    <n v="25910.05"/>
    <n v="11.779375"/>
    <n v="153.34999999999854"/>
    <n v="8.0499999999992724"/>
    <n v="145.29999999999927"/>
    <n v="111.75"/>
  </r>
  <r>
    <x v="219"/>
    <s v="Wed"/>
    <n v="25918.1"/>
    <n v="26074.65"/>
    <n v="25856.2"/>
    <n v="26052.65"/>
    <n v="11.80125"/>
    <n v="218.45000000000073"/>
    <n v="156.55000000000291"/>
    <n v="61.899999999997817"/>
    <n v="134.55000000000291"/>
  </r>
  <r>
    <x v="220"/>
    <s v="Thu"/>
    <n v="26132.1"/>
    <n v="26246.65"/>
    <n v="26063.200000000001"/>
    <n v="26192.15"/>
    <n v="11.88625"/>
    <n v="183.45000000000073"/>
    <n v="114.55000000000291"/>
    <n v="68.899999999997817"/>
    <n v="60.05000000000291"/>
  </r>
  <r>
    <x v="221"/>
    <s v="Fri"/>
    <n v="26109.55"/>
    <n v="26179.200000000001"/>
    <n v="26052.2"/>
    <n v="26068.15"/>
    <n v="12.9375"/>
    <n v="127"/>
    <n v="69.650000000001455"/>
    <n v="57.349999999998545"/>
    <n v="41.399999999997817"/>
  </r>
  <r>
    <x v="222"/>
    <s v="Mon"/>
    <n v="26122.799999999999"/>
    <n v="26142.799999999999"/>
    <n v="25912.15"/>
    <n v="25959.5"/>
    <n v="13.109375000000002"/>
    <n v="230.64999999999782"/>
    <n v="20"/>
    <n v="210.64999999999782"/>
    <n v="163.29999999999927"/>
  </r>
  <r>
    <x v="223"/>
    <s v="Tue"/>
    <n v="25998.5"/>
    <n v="26032.6"/>
    <n v="25857.5"/>
    <n v="25884.799999999999"/>
    <n v="12.391250000000001"/>
    <n v="175.09999999999854"/>
    <n v="34.099999999998545"/>
    <n v="141"/>
    <n v="113.70000000000073"/>
  </r>
  <r>
    <x v="224"/>
    <s v="Wed"/>
    <n v="25842.95"/>
    <n v="26215.15"/>
    <n v="25842.95"/>
    <n v="26205.3"/>
    <n v="12.092499999999999"/>
    <n v="372.20000000000073"/>
    <n v="372.20000000000073"/>
    <n v="0"/>
    <n v="362.34999999999854"/>
  </r>
  <r>
    <x v="225"/>
    <s v="Thu"/>
    <n v="26261.25"/>
    <n v="26310.45"/>
    <n v="26141.9"/>
    <n v="26215.55"/>
    <n v="11.876875"/>
    <n v="168.54999999999927"/>
    <n v="49.200000000000728"/>
    <n v="119.34999999999854"/>
    <n v="45.700000000000728"/>
  </r>
  <r>
    <x v="226"/>
    <s v="Fri"/>
    <n v="26237.45"/>
    <n v="26280.75"/>
    <n v="26172.400000000001"/>
    <n v="26202.95"/>
    <n v="11.501875"/>
    <n v="108.34999999999854"/>
    <n v="43.299999999999272"/>
    <n v="65.049999999999272"/>
    <n v="34.5"/>
  </r>
  <r>
    <x v="227"/>
    <s v="Mon"/>
    <n v="26325.8"/>
    <n v="26325.8"/>
    <n v="26124.2"/>
    <n v="26175.75"/>
    <n v="11.539375"/>
    <n v="201.59999999999854"/>
    <n v="0"/>
    <n v="201.59999999999854"/>
    <n v="150.04999999999927"/>
  </r>
  <r>
    <x v="228"/>
    <s v="Tue"/>
    <n v="26087.95"/>
    <n v="26154.6"/>
    <n v="25997.85"/>
    <n v="26032.2"/>
    <n v="11.456250000000001"/>
    <n v="156.75"/>
    <n v="66.649999999997817"/>
    <n v="90.100000000002183"/>
    <n v="55.75"/>
  </r>
  <r>
    <x v="229"/>
    <s v="Wed"/>
    <n v="26004.9"/>
    <n v="26066.45"/>
    <n v="25891"/>
    <n v="25986"/>
    <n v="11.18125"/>
    <n v="175.45000000000073"/>
    <n v="61.549999999999272"/>
    <n v="113.90000000000146"/>
    <n v="18.900000000001455"/>
  </r>
  <r>
    <x v="230"/>
    <s v="Thu"/>
    <n v="25981.85"/>
    <n v="26098.25"/>
    <n v="25938.95"/>
    <n v="26033.75"/>
    <n v="10.970625"/>
    <n v="159.29999999999927"/>
    <n v="116.40000000000146"/>
    <n v="42.899999999997817"/>
    <n v="51.900000000001455"/>
  </r>
  <r>
    <x v="231"/>
    <s v="Fri"/>
    <n v="25999.8"/>
    <n v="26202.6"/>
    <n v="25985.35"/>
    <n v="26186.45"/>
    <n v="10.540625"/>
    <n v="217.25"/>
    <n v="202.79999999999927"/>
    <n v="14.450000000000728"/>
    <n v="186.65000000000146"/>
  </r>
  <r>
    <x v="232"/>
    <s v="Mon"/>
    <n v="26159.8"/>
    <n v="26178.7"/>
    <n v="25892.25"/>
    <n v="25960.55"/>
    <n v="10.797499999999999"/>
    <n v="286.45000000000073"/>
    <n v="18.900000000001455"/>
    <n v="267.54999999999927"/>
    <n v="199.25"/>
  </r>
  <r>
    <x v="233"/>
    <s v="Tue"/>
    <n v="25867.1"/>
    <n v="25923.65"/>
    <n v="25728"/>
    <n v="25839.65"/>
    <n v="11.103124999999999"/>
    <n v="195.65000000000146"/>
    <n v="56.55000000000291"/>
    <n v="139.09999999999854"/>
    <n v="27.44999999999709"/>
  </r>
  <r>
    <x v="234"/>
    <s v="Wed"/>
    <n v="25864.05"/>
    <n v="25947.65"/>
    <n v="25734.55"/>
    <n v="25758"/>
    <n v="10.943750000000001"/>
    <n v="213.10000000000218"/>
    <n v="83.600000000002183"/>
    <n v="129.5"/>
    <n v="106.04999999999927"/>
  </r>
  <r>
    <x v="235"/>
    <s v="Thu"/>
    <n v="25771.4"/>
    <n v="25922.799999999999"/>
    <n v="25693.25"/>
    <n v="25898.55"/>
    <n v="10.705625"/>
    <n v="229.54999999999927"/>
    <n v="151.39999999999782"/>
    <n v="78.150000000001455"/>
    <n v="127.14999999999782"/>
  </r>
  <r>
    <x v="236"/>
    <s v="Fri"/>
    <n v="25971.200000000001"/>
    <n v="26057.599999999999"/>
    <n v="25938.45"/>
    <n v="26046.95"/>
    <n v="10.218125000000001"/>
    <n v="119.14999999999782"/>
    <n v="86.399999999997817"/>
    <n v="32.75"/>
    <n v="75.75"/>
  </r>
  <r>
    <x v="237"/>
    <s v="Mon"/>
    <n v="25930.05"/>
    <n v="26047.15"/>
    <n v="25904.75"/>
    <n v="26027.3"/>
    <n v="10.311875000000001"/>
    <n v="142.40000000000146"/>
    <n v="117.10000000000218"/>
    <n v="25.299999999999272"/>
    <n v="97.25"/>
  </r>
  <r>
    <x v="238"/>
    <s v="Tue"/>
    <n v="25951.5"/>
    <n v="25980.75"/>
    <n v="25834.35"/>
    <n v="25860.1"/>
    <n v="10.100000000000001"/>
    <n v="146.40000000000146"/>
    <n v="29.25"/>
    <n v="117.15000000000146"/>
    <n v="91.400000000001455"/>
  </r>
  <r>
    <x v="239"/>
    <s v="Wed"/>
    <n v="25902.400000000001"/>
    <n v="25929.15"/>
    <n v="25770.35"/>
    <n v="25818.55"/>
    <n v="9.890625"/>
    <n v="158.80000000000291"/>
    <n v="26.75"/>
    <n v="132.05000000000291"/>
    <n v="83.850000000002183"/>
  </r>
  <r>
    <x v="240"/>
    <s v="Thu"/>
    <n v="25764.7"/>
    <n v="25902.35"/>
    <n v="25726.3"/>
    <n v="25815.55"/>
    <n v="9.7768750000000004"/>
    <n v="176.04999999999927"/>
    <n v="137.64999999999782"/>
    <n v="38.400000000001455"/>
    <n v="50.849999999998545"/>
  </r>
  <r>
    <x v="241"/>
    <s v="Fri"/>
    <n v="25911.5"/>
    <n v="25993.35"/>
    <n v="25880.45"/>
    <n v="25966.400000000001"/>
    <n v="9.7424999999999997"/>
    <n v="112.89999999999782"/>
    <n v="81.849999999998545"/>
    <n v="31.049999999999272"/>
    <n v="54.900000000001455"/>
  </r>
  <r>
    <x v="242"/>
    <s v="Mon"/>
    <n v="26055.85"/>
    <n v="26180.7"/>
    <n v="26047.8"/>
    <n v="26172.400000000001"/>
    <n v="9.4906250000000014"/>
    <n v="132.90000000000146"/>
    <n v="124.85000000000218"/>
    <n v="8.0499999999992724"/>
    <n v="116.55000000000291"/>
  </r>
  <r>
    <x v="243"/>
    <s v="Tue"/>
    <n v="26205.200000000001"/>
    <n v="26233.55"/>
    <n v="26119.05"/>
    <n v="26177.15"/>
    <n v="9.5406250000000004"/>
    <n v="114.5"/>
    <n v="28.349999999998545"/>
    <n v="86.150000000001455"/>
    <n v="28.049999999999272"/>
  </r>
  <r>
    <x v="244"/>
    <s v="Wed"/>
    <n v="26170.65"/>
    <n v="26236.400000000001"/>
    <n v="26123"/>
    <n v="26142.1"/>
    <n v="9.2824999999999989"/>
    <n v="113.40000000000146"/>
    <n v="65.75"/>
    <n v="47.650000000001455"/>
    <n v="28.55000000000291"/>
  </r>
  <r>
    <x v="245"/>
    <s v="Fri"/>
    <n v="26121.25"/>
    <n v="26144.2"/>
    <n v="26008.6"/>
    <n v="26042.3"/>
    <n v="9.1887500000000006"/>
    <n v="135.60000000000218"/>
    <n v="22.950000000000728"/>
    <n v="112.65000000000146"/>
    <n v="78.950000000000728"/>
  </r>
  <r>
    <x v="246"/>
    <s v="Mon"/>
    <n v="26063.35"/>
    <n v="26106.799999999999"/>
    <n v="25920.3"/>
    <n v="25942.1"/>
    <n v="9.421875"/>
    <n v="186.5"/>
    <n v="43.450000000000728"/>
    <n v="143.04999999999927"/>
    <n v="121.25"/>
  </r>
  <r>
    <x v="247"/>
    <s v="Tue"/>
    <n v="25940.9"/>
    <n v="25976.75"/>
    <n v="25878"/>
    <n v="25938.85"/>
    <n v="9.7437500000000004"/>
    <n v="98.75"/>
    <n v="35.849999999998545"/>
    <n v="62.900000000001455"/>
    <n v="2.0500000000029104"/>
  </r>
  <r>
    <x v="248"/>
    <s v="Wed"/>
    <n v="25971.05"/>
    <n v="26187.95"/>
    <n v="25969"/>
    <n v="26129.599999999999"/>
    <n v="9.5500000000000007"/>
    <n v="218.95000000000073"/>
    <n v="216.90000000000146"/>
    <n v="2.0499999999992724"/>
    <n v="158.54999999999927"/>
  </r>
  <r>
    <x v="249"/>
    <s v="Thu"/>
    <n v="26173.3"/>
    <n v="26197.55"/>
    <n v="26113.4"/>
    <n v="26146.55"/>
    <n v="9.2149999999999999"/>
    <n v="84.149999999997817"/>
    <n v="24.25"/>
    <n v="59.899999999997817"/>
    <n v="26.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x v="0"/>
    <x v="0"/>
    <n v="23637.65"/>
    <n v="23822.799999999999"/>
    <n v="23562.799999999999"/>
    <n v="23742.9"/>
    <n v="14.52375"/>
    <n v="260"/>
    <n v="185.14999999999782"/>
    <n v="74.850000000002183"/>
    <n v="105.25"/>
  </r>
  <r>
    <x v="1"/>
    <x v="1"/>
    <n v="25243.3"/>
    <n v="25246.25"/>
    <n v="25018.7"/>
    <n v="25062.1"/>
    <n v="10.551875000000001"/>
    <n v="227.54999999999927"/>
    <n v="2.9500000000007276"/>
    <n v="224.59999999999854"/>
    <n v="181.20000000000073"/>
  </r>
  <r>
    <x v="2"/>
    <x v="2"/>
    <n v="24196.400000000001"/>
    <n v="24196.45"/>
    <n v="23976"/>
    <n v="24004.75"/>
    <n v="13.62"/>
    <n v="220.45000000000073"/>
    <n v="4.9999999999272404E-2"/>
    <n v="220.40000000000146"/>
    <n v="191.65000000000146"/>
  </r>
  <r>
    <x v="3"/>
    <x v="3"/>
    <n v="24045.8"/>
    <n v="24089.95"/>
    <n v="23551.9"/>
    <n v="23616.05"/>
    <n v="14.6625"/>
    <n v="538.04999999999927"/>
    <n v="44.150000000001455"/>
    <n v="493.89999999999782"/>
    <n v="429.75"/>
  </r>
  <r>
    <x v="4"/>
    <x v="4"/>
    <n v="23679.9"/>
    <n v="23795.200000000001"/>
    <n v="23637.8"/>
    <n v="23707.9"/>
    <n v="15.076250000000002"/>
    <n v="157.40000000000146"/>
    <n v="115.29999999999927"/>
    <n v="42.100000000002183"/>
    <n v="28"/>
  </r>
  <r>
    <x v="5"/>
    <x v="0"/>
    <n v="23746.65"/>
    <n v="23751.85"/>
    <n v="23496.15"/>
    <n v="23688.95"/>
    <n v="14.524999999999999"/>
    <n v="255.69999999999709"/>
    <n v="5.1999999999970896"/>
    <n v="250.5"/>
    <n v="57.700000000000728"/>
  </r>
  <r>
    <x v="6"/>
    <x v="1"/>
    <n v="25230.75"/>
    <n v="25238.35"/>
    <n v="25101"/>
    <n v="25111.45"/>
    <n v="11.1875"/>
    <n v="137.34999999999854"/>
    <n v="7.5999999999985448"/>
    <n v="129.75"/>
    <n v="119.29999999999927"/>
  </r>
  <r>
    <x v="7"/>
    <x v="2"/>
    <n v="23551.9"/>
    <n v="23596.6"/>
    <n v="23344.35"/>
    <n v="23431.5"/>
    <n v="14.936249999999999"/>
    <n v="252.25"/>
    <n v="44.69999999999709"/>
    <n v="207.55000000000291"/>
    <n v="120.40000000000146"/>
  </r>
  <r>
    <x v="8"/>
    <x v="3"/>
    <n v="23195.4"/>
    <n v="23340.95"/>
    <n v="23047.25"/>
    <n v="23085.95"/>
    <n v="15.386875"/>
    <n v="293.70000000000073"/>
    <n v="145.54999999999927"/>
    <n v="148.15000000000146"/>
    <n v="109.45000000000073"/>
  </r>
  <r>
    <x v="9"/>
    <x v="4"/>
    <n v="23165.9"/>
    <n v="23264.95"/>
    <n v="23134.15"/>
    <n v="23176.05"/>
    <n v="15.645"/>
    <n v="130.79999999999927"/>
    <n v="99.049999999999272"/>
    <n v="31.75"/>
    <n v="10.149999999997817"/>
  </r>
  <r>
    <x v="10"/>
    <x v="0"/>
    <n v="23250.45"/>
    <n v="23293.65"/>
    <n v="23146.45"/>
    <n v="23213.200000000001"/>
    <n v="15.396875"/>
    <n v="147.20000000000073"/>
    <n v="43.200000000000728"/>
    <n v="104"/>
    <n v="37.25"/>
  </r>
  <r>
    <x v="11"/>
    <x v="1"/>
    <n v="25142"/>
    <n v="25153.65"/>
    <n v="25054.9"/>
    <n v="25083.75"/>
    <n v="11.28375"/>
    <n v="98.75"/>
    <n v="11.650000000001455"/>
    <n v="87.099999999998545"/>
    <n v="58.25"/>
  </r>
  <r>
    <x v="12"/>
    <x v="2"/>
    <n v="23277.1"/>
    <n v="23292.1"/>
    <n v="23100.35"/>
    <n v="23203.200000000001"/>
    <n v="15.411875"/>
    <n v="191.75"/>
    <n v="15"/>
    <n v="176.75"/>
    <n v="73.899999999997817"/>
  </r>
  <r>
    <x v="13"/>
    <x v="3"/>
    <n v="23290.400000000001"/>
    <n v="23391.1"/>
    <n v="23170.65"/>
    <n v="23344.75"/>
    <n v="16.091249999999999"/>
    <n v="220.44999999999709"/>
    <n v="100.69999999999709"/>
    <n v="119.75"/>
    <n v="54.349999999998545"/>
  </r>
  <r>
    <x v="14"/>
    <x v="4"/>
    <n v="23421.65"/>
    <n v="23426.3"/>
    <n v="22976.85"/>
    <n v="23024.65"/>
    <n v="16.529375000000002"/>
    <n v="449.45000000000073"/>
    <n v="4.6499999999978172"/>
    <n v="444.80000000000291"/>
    <n v="397"/>
  </r>
  <r>
    <x v="15"/>
    <x v="0"/>
    <n v="23099.15"/>
    <n v="23169.55"/>
    <n v="22981.3"/>
    <n v="23155.35"/>
    <n v="16.756875000000001"/>
    <n v="188.25"/>
    <n v="70.399999999997817"/>
    <n v="117.85000000000218"/>
    <n v="56.19999999999709"/>
  </r>
  <r>
    <x v="16"/>
    <x v="1"/>
    <n v="24642.25"/>
    <n v="24956.5"/>
    <n v="24635"/>
    <n v="24768.35"/>
    <n v="11.5175"/>
    <n v="321.5"/>
    <n v="314.25"/>
    <n v="7.25"/>
    <n v="126.09999999999854"/>
  </r>
  <r>
    <x v="17"/>
    <x v="2"/>
    <n v="23183.9"/>
    <n v="23347.3"/>
    <n v="23050"/>
    <n v="23092.2"/>
    <n v="16.716874999999998"/>
    <n v="297.29999999999927"/>
    <n v="163.39999999999782"/>
    <n v="133.90000000000146"/>
    <n v="91.700000000000728"/>
  </r>
  <r>
    <x v="18"/>
    <x v="3"/>
    <n v="22940.15"/>
    <n v="23007.45"/>
    <n v="22786.9"/>
    <n v="22829.15"/>
    <n v="17.536250000000003"/>
    <n v="220.54999999999927"/>
    <n v="67.299999999999272"/>
    <n v="153.25"/>
    <n v="111"/>
  </r>
  <r>
    <x v="19"/>
    <x v="4"/>
    <n v="22960.45"/>
    <n v="23137.95"/>
    <n v="22857.65"/>
    <n v="22957.25"/>
    <n v="17.914375"/>
    <n v="280.29999999999927"/>
    <n v="177.5"/>
    <n v="102.79999999999927"/>
    <n v="3.2000000000007276"/>
  </r>
  <r>
    <x v="20"/>
    <x v="0"/>
    <n v="23026.75"/>
    <n v="23183.35"/>
    <n v="22976.5"/>
    <n v="23163.1"/>
    <n v="18.283124999999998"/>
    <n v="206.84999999999854"/>
    <n v="156.59999999999854"/>
    <n v="50.25"/>
    <n v="136.34999999999854"/>
  </r>
  <r>
    <x v="21"/>
    <x v="1"/>
    <n v="25511.65"/>
    <n v="25524.05"/>
    <n v="25340.45"/>
    <n v="25355.25"/>
    <n v="11.852499999999999"/>
    <n v="183.59999999999854"/>
    <n v="12.399999999997817"/>
    <n v="171.20000000000073"/>
    <n v="156.40000000000146"/>
  </r>
  <r>
    <x v="22"/>
    <x v="2"/>
    <n v="23296.75"/>
    <n v="23546.799999999999"/>
    <n v="23277.4"/>
    <n v="23508.400000000001"/>
    <n v="16.921875"/>
    <n v="269.39999999999782"/>
    <n v="250.04999999999927"/>
    <n v="19.349999999998545"/>
    <n v="211.65000000000146"/>
  </r>
  <r>
    <x v="23"/>
    <x v="5"/>
    <n v="23528.6"/>
    <n v="23632.45"/>
    <n v="23318.3"/>
    <n v="23482.15"/>
    <n v="15.233750000000001"/>
    <n v="314.15000000000146"/>
    <n v="103.85000000000218"/>
    <n v="210.29999999999927"/>
    <n v="46.44999999999709"/>
  </r>
  <r>
    <x v="24"/>
    <x v="3"/>
    <n v="23319.35"/>
    <n v="23381.599999999999"/>
    <n v="23222"/>
    <n v="23361.05"/>
    <n v="14.41375"/>
    <n v="159.59999999999854"/>
    <n v="62.25"/>
    <n v="97.349999999998545"/>
    <n v="41.700000000000728"/>
  </r>
  <r>
    <x v="25"/>
    <x v="4"/>
    <n v="23509.9"/>
    <n v="23762.75"/>
    <n v="23423.15"/>
    <n v="23739.25"/>
    <n v="14.291874999999999"/>
    <n v="339.59999999999854"/>
    <n v="252.84999999999854"/>
    <n v="86.75"/>
    <n v="229.34999999999854"/>
  </r>
  <r>
    <x v="26"/>
    <x v="0"/>
    <n v="23801.75"/>
    <n v="23807.3"/>
    <n v="23680.45"/>
    <n v="23696.3"/>
    <n v="13.973749999999999"/>
    <n v="126.84999999999854"/>
    <n v="5.5499999999992724"/>
    <n v="121.29999999999927"/>
    <n v="105.45000000000073"/>
  </r>
  <r>
    <x v="27"/>
    <x v="1"/>
    <n v="24464.2"/>
    <n v="24634.2"/>
    <n v="24344.15"/>
    <n v="24596.15"/>
    <n v="11.878124999999999"/>
    <n v="290.04999999999927"/>
    <n v="170"/>
    <n v="120.04999999999927"/>
    <n v="131.95000000000073"/>
  </r>
  <r>
    <x v="28"/>
    <x v="2"/>
    <n v="23649.5"/>
    <n v="23694.5"/>
    <n v="23443.200000000001"/>
    <n v="23559.95"/>
    <n v="13.978750000000002"/>
    <n v="251.29999999999927"/>
    <n v="45"/>
    <n v="206.29999999999927"/>
    <n v="89.549999999999272"/>
  </r>
  <r>
    <x v="29"/>
    <x v="3"/>
    <n v="23543.8"/>
    <n v="23568.6"/>
    <n v="23316.3"/>
    <n v="23381.599999999999"/>
    <n v="14.133125"/>
    <n v="252.29999999999927"/>
    <n v="24.799999999999272"/>
    <n v="227.5"/>
    <n v="162.20000000000073"/>
  </r>
  <r>
    <x v="30"/>
    <x v="4"/>
    <n v="23383.55"/>
    <n v="23390.05"/>
    <n v="22986.65"/>
    <n v="23071.8"/>
    <n v="14.648124999999999"/>
    <n v="403.39999999999782"/>
    <n v="6.5"/>
    <n v="396.89999999999782"/>
    <n v="311.75"/>
  </r>
  <r>
    <x v="31"/>
    <x v="0"/>
    <n v="23050.799999999999"/>
    <n v="23144.7"/>
    <n v="22798.35"/>
    <n v="23045.25"/>
    <n v="14.998750000000001"/>
    <n v="346.35000000000218"/>
    <n v="93.900000000001455"/>
    <n v="252.45000000000073"/>
    <n v="5.5499999999992724"/>
  </r>
  <r>
    <x v="32"/>
    <x v="1"/>
    <n v="24607.25"/>
    <n v="24673.65"/>
    <n v="24596.9"/>
    <n v="24631.3"/>
    <n v="12.110624999999999"/>
    <n v="76.75"/>
    <n v="66.400000000001455"/>
    <n v="10.349999999998545"/>
    <n v="24.049999999999272"/>
  </r>
  <r>
    <x v="33"/>
    <x v="2"/>
    <n v="23096.45"/>
    <n v="23133.7"/>
    <n v="22774.85"/>
    <n v="22929.25"/>
    <n v="15.001250000000001"/>
    <n v="358.85000000000218"/>
    <n v="37.25"/>
    <n v="321.60000000000218"/>
    <n v="167.20000000000073"/>
  </r>
  <r>
    <x v="34"/>
    <x v="3"/>
    <n v="22809.9"/>
    <n v="22974.2"/>
    <n v="22725.45"/>
    <n v="22959.5"/>
    <n v="15.38625"/>
    <n v="248.75"/>
    <n v="164.29999999999927"/>
    <n v="84.450000000000728"/>
    <n v="149.59999999999854"/>
  </r>
  <r>
    <x v="35"/>
    <x v="4"/>
    <n v="22963.65"/>
    <n v="22992.5"/>
    <n v="22801.5"/>
    <n v="22945.3"/>
    <n v="15.6225"/>
    <n v="191"/>
    <n v="28.849999999998545"/>
    <n v="162.15000000000146"/>
    <n v="18.350000000002183"/>
  </r>
  <r>
    <x v="36"/>
    <x v="0"/>
    <n v="22847.25"/>
    <n v="23049.95"/>
    <n v="22814.85"/>
    <n v="22932.9"/>
    <n v="15.465"/>
    <n v="235.10000000000218"/>
    <n v="202.70000000000073"/>
    <n v="32.400000000001455"/>
    <n v="85.650000000001455"/>
  </r>
  <r>
    <x v="37"/>
    <x v="1"/>
    <n v="24695.8"/>
    <n v="24702.65"/>
    <n v="24481.599999999999"/>
    <n v="24500.9"/>
    <n v="12.273124999999999"/>
    <n v="221.05000000000291"/>
    <n v="6.8500000000021828"/>
    <n v="214.20000000000073"/>
    <n v="194.89999999999782"/>
  </r>
  <r>
    <x v="38"/>
    <x v="2"/>
    <n v="22857.200000000001"/>
    <n v="22921"/>
    <n v="22720.3"/>
    <n v="22795.9"/>
    <n v="14.134374999999999"/>
    <n v="200.70000000000073"/>
    <n v="63.799999999999272"/>
    <n v="136.90000000000146"/>
    <n v="61.299999999999272"/>
  </r>
  <r>
    <x v="39"/>
    <x v="3"/>
    <n v="22609.35"/>
    <n v="22668.05"/>
    <n v="22518.799999999999"/>
    <n v="22553.35"/>
    <n v="14.72875"/>
    <n v="149.25"/>
    <n v="58.700000000000728"/>
    <n v="90.549999999999272"/>
    <n v="56"/>
  </r>
  <r>
    <x v="40"/>
    <x v="4"/>
    <n v="22516.45"/>
    <n v="22625.3"/>
    <n v="22513.9"/>
    <n v="22547.55"/>
    <n v="14.21125"/>
    <n v="111.39999999999782"/>
    <n v="108.84999999999854"/>
    <n v="2.5499999999992724"/>
    <n v="31.099999999998545"/>
  </r>
  <r>
    <x v="41"/>
    <x v="1"/>
    <n v="25505.1"/>
    <n v="25587.5"/>
    <n v="25384.35"/>
    <n v="25405.3"/>
    <n v="12.421250000000001"/>
    <n v="203.15000000000146"/>
    <n v="82.400000000001455"/>
    <n v="120.75"/>
    <n v="99.799999999999272"/>
  </r>
  <r>
    <x v="42"/>
    <x v="2"/>
    <n v="22433.4"/>
    <n v="22450.35"/>
    <n v="22104.85"/>
    <n v="22124.7"/>
    <n v="13.643125000000001"/>
    <n v="345.5"/>
    <n v="16.94999999999709"/>
    <n v="328.55000000000291"/>
    <n v="308.70000000000073"/>
  </r>
  <r>
    <x v="43"/>
    <x v="3"/>
    <n v="22194.55"/>
    <n v="22261.55"/>
    <n v="22004.7"/>
    <n v="22119.3"/>
    <n v="13.899374999999999"/>
    <n v="256.84999999999854"/>
    <n v="67"/>
    <n v="189.84999999999854"/>
    <n v="75.25"/>
  </r>
  <r>
    <x v="44"/>
    <x v="4"/>
    <n v="21974.45"/>
    <n v="22105.05"/>
    <n v="21964.6"/>
    <n v="22082.65"/>
    <n v="13.790625"/>
    <n v="140.45000000000073"/>
    <n v="130.59999999999854"/>
    <n v="9.8500000000021828"/>
    <n v="108.20000000000073"/>
  </r>
  <r>
    <x v="45"/>
    <x v="0"/>
    <n v="22073.05"/>
    <n v="22394.9"/>
    <n v="22067.8"/>
    <n v="22337.3"/>
    <n v="13.68125"/>
    <n v="327.10000000000218"/>
    <n v="321.85000000000218"/>
    <n v="5.25"/>
    <n v="264.25"/>
  </r>
  <r>
    <x v="46"/>
    <x v="1"/>
    <n v="25268.95"/>
    <n v="25565.3"/>
    <n v="25259.9"/>
    <n v="25549"/>
    <n v="12.849375000000002"/>
    <n v="305.39999999999782"/>
    <n v="296.34999999999854"/>
    <n v="9.0499999999992724"/>
    <n v="280.04999999999927"/>
  </r>
  <r>
    <x v="47"/>
    <x v="2"/>
    <n v="22508.65"/>
    <n v="22633.8"/>
    <n v="22464.75"/>
    <n v="22552.5"/>
    <n v="13.596875000000001"/>
    <n v="169.04999999999927"/>
    <n v="125.14999999999782"/>
    <n v="43.900000000001455"/>
    <n v="43.849999999998545"/>
  </r>
  <r>
    <x v="48"/>
    <x v="3"/>
    <n v="22521.85"/>
    <n v="22676.75"/>
    <n v="22429.05"/>
    <n v="22460.3"/>
    <n v="13.784375000000001"/>
    <n v="247.70000000000073"/>
    <n v="154.90000000000146"/>
    <n v="92.799999999999272"/>
    <n v="61.549999999999272"/>
  </r>
  <r>
    <x v="49"/>
    <x v="4"/>
    <n v="22345.95"/>
    <n v="22522.1"/>
    <n v="22314.7"/>
    <n v="22497.9"/>
    <n v="14.058124999999999"/>
    <n v="207.39999999999782"/>
    <n v="176.14999999999782"/>
    <n v="31.25"/>
    <n v="151.95000000000073"/>
  </r>
  <r>
    <x v="50"/>
    <x v="0"/>
    <n v="22536.35"/>
    <n v="22577.4"/>
    <n v="22329.55"/>
    <n v="22470.5"/>
    <n v="13.942499999999999"/>
    <n v="247.85000000000218"/>
    <n v="41.05000000000291"/>
    <n v="206.79999999999927"/>
    <n v="65.849999999998545"/>
  </r>
  <r>
    <x v="51"/>
    <x v="1"/>
    <n v="23036.6"/>
    <n v="23216.7"/>
    <n v="22973.95"/>
    <n v="23190.65"/>
    <n v="12.926875000000001"/>
    <n v="242.75"/>
    <n v="180.10000000000218"/>
    <n v="62.649999999997817"/>
    <n v="154.05000000000291"/>
  </r>
  <r>
    <x v="52"/>
    <x v="3"/>
    <n v="22353.15"/>
    <n v="22577"/>
    <n v="22353.15"/>
    <n v="22508.75"/>
    <n v="13.519375"/>
    <n v="223.84999999999854"/>
    <n v="223.84999999999854"/>
    <n v="0"/>
    <n v="155.59999999999854"/>
  </r>
  <r>
    <x v="53"/>
    <x v="4"/>
    <n v="22662.25"/>
    <n v="22857.8"/>
    <n v="22599.200000000001"/>
    <n v="22834.3"/>
    <n v="12.904999999999999"/>
    <n v="258.59999999999854"/>
    <n v="195.54999999999927"/>
    <n v="63.049999999999272"/>
    <n v="172.04999999999927"/>
  </r>
  <r>
    <x v="54"/>
    <x v="0"/>
    <n v="22874.95"/>
    <n v="22940.7"/>
    <n v="22807.95"/>
    <n v="22907.599999999999"/>
    <n v="13.166875000000001"/>
    <n v="132.75"/>
    <n v="65.75"/>
    <n v="67"/>
    <n v="32.649999999997817"/>
  </r>
  <r>
    <x v="55"/>
    <x v="1"/>
    <n v="23433.95"/>
    <n v="23646.45"/>
    <n v="23412.2"/>
    <n v="23591.95"/>
    <n v="13.399374999999999"/>
    <n v="234.25"/>
    <n v="212.5"/>
    <n v="21.75"/>
    <n v="158"/>
  </r>
  <r>
    <x v="56"/>
    <x v="2"/>
    <n v="23168.25"/>
    <n v="23402.7"/>
    <n v="23132.799999999999"/>
    <n v="23350.400000000001"/>
    <n v="12.178125"/>
    <n v="269.90000000000146"/>
    <n v="234.45000000000073"/>
    <n v="35.450000000000728"/>
    <n v="182.15000000000146"/>
  </r>
  <r>
    <x v="57"/>
    <x v="3"/>
    <n v="23515.4"/>
    <n v="23708.75"/>
    <n v="23433.5"/>
    <n v="23658.35"/>
    <n v="13.200624999999999"/>
    <n v="275.25"/>
    <n v="193.34999999999854"/>
    <n v="81.900000000001455"/>
    <n v="142.94999999999709"/>
  </r>
  <r>
    <x v="58"/>
    <x v="4"/>
    <n v="23751.5"/>
    <n v="23869.599999999999"/>
    <n v="23601.4"/>
    <n v="23668.65"/>
    <n v="13.82625"/>
    <n v="268.19999999999709"/>
    <n v="118.09999999999854"/>
    <n v="150.09999999999854"/>
    <n v="82.849999999998545"/>
  </r>
  <r>
    <x v="59"/>
    <x v="0"/>
    <n v="23700.95"/>
    <n v="23736.5"/>
    <n v="23451.7"/>
    <n v="23486.85"/>
    <n v="13.581249999999999"/>
    <n v="284.79999999999927"/>
    <n v="35.549999999999272"/>
    <n v="249.25"/>
    <n v="214.10000000000218"/>
  </r>
  <r>
    <x v="60"/>
    <x v="1"/>
    <n v="22568.95"/>
    <n v="22613.3"/>
    <n v="22508.400000000001"/>
    <n v="22545.05"/>
    <n v="13.485625000000001"/>
    <n v="104.89999999999782"/>
    <n v="44.349999999998545"/>
    <n v="60.549999999999272"/>
    <n v="23.900000000001455"/>
  </r>
  <r>
    <x v="61"/>
    <x v="2"/>
    <n v="23600.400000000001"/>
    <n v="23649.200000000001"/>
    <n v="23450.2"/>
    <n v="23519.35"/>
    <n v="13.050625"/>
    <n v="199"/>
    <n v="48.799999999999272"/>
    <n v="150.20000000000073"/>
    <n v="81.05000000000291"/>
  </r>
  <r>
    <x v="62"/>
    <x v="4"/>
    <n v="23341.1"/>
    <n v="23565.15"/>
    <n v="23136.400000000001"/>
    <n v="23165.7"/>
    <n v="13.316875"/>
    <n v="428.75"/>
    <n v="224.05000000000291"/>
    <n v="204.69999999999709"/>
    <n v="175.39999999999782"/>
  </r>
  <r>
    <x v="63"/>
    <x v="0"/>
    <n v="23192.6"/>
    <n v="23350"/>
    <n v="23158.45"/>
    <n v="23332.35"/>
    <n v="13.789375"/>
    <n v="191.54999999999927"/>
    <n v="157.40000000000146"/>
    <n v="34.149999999997817"/>
    <n v="139.75"/>
  </r>
  <r>
    <x v="64"/>
    <x v="1"/>
    <n v="22541.5"/>
    <n v="22558.05"/>
    <n v="22377.35"/>
    <n v="22397.200000000001"/>
    <n v="13.530625000000001"/>
    <n v="180.70000000000073"/>
    <n v="16.549999999999272"/>
    <n v="164.15000000000146"/>
    <n v="144.29999999999927"/>
  </r>
  <r>
    <x v="65"/>
    <x v="2"/>
    <n v="23190.400000000001"/>
    <n v="23214.7"/>
    <n v="22857.45"/>
    <n v="22904.45"/>
    <n v="13.750624999999999"/>
    <n v="357.25"/>
    <n v="24.299999999999272"/>
    <n v="332.95000000000073"/>
    <n v="285.95000000000073"/>
  </r>
  <r>
    <x v="66"/>
    <x v="3"/>
    <n v="21758.400000000001"/>
    <n v="22254"/>
    <n v="21743.65"/>
    <n v="22161.599999999999"/>
    <n v="18.371875000000003"/>
    <n v="510.34999999999854"/>
    <n v="495.59999999999854"/>
    <n v="14.75"/>
    <n v="403.19999999999709"/>
  </r>
  <r>
    <x v="67"/>
    <x v="4"/>
    <n v="22446.75"/>
    <n v="22697.200000000001"/>
    <n v="22270.85"/>
    <n v="22535.85"/>
    <n v="21.351875"/>
    <n v="426.35000000000218"/>
    <n v="250.45000000000073"/>
    <n v="175.90000000000146"/>
    <n v="89.099999999998545"/>
  </r>
  <r>
    <x v="68"/>
    <x v="0"/>
    <n v="22460.3"/>
    <n v="22468.7"/>
    <n v="22353.25"/>
    <n v="22399.15"/>
    <n v="20.829374999999999"/>
    <n v="115.45000000000073"/>
    <n v="8.4000000000014552"/>
    <n v="107.04999999999927"/>
    <n v="61.149999999997817"/>
  </r>
  <r>
    <x v="69"/>
    <x v="2"/>
    <n v="22695.4"/>
    <n v="22923.9"/>
    <n v="22695.4"/>
    <n v="22828.55"/>
    <n v="20.456250000000001"/>
    <n v="228.5"/>
    <n v="228.5"/>
    <n v="0"/>
    <n v="133.14999999999782"/>
  </r>
  <r>
    <x v="70"/>
    <x v="4"/>
    <n v="23368.35"/>
    <n v="23368.35"/>
    <n v="23207"/>
    <n v="23328.55"/>
    <n v="18.079374999999999"/>
    <n v="161.34999999999854"/>
    <n v="0"/>
    <n v="161.34999999999854"/>
    <n v="39.799999999999272"/>
  </r>
  <r>
    <x v="71"/>
    <x v="0"/>
    <n v="23344.1"/>
    <n v="23452.2"/>
    <n v="23273.05"/>
    <n v="23437.200000000001"/>
    <n v="15.80875"/>
    <n v="179.15000000000146"/>
    <n v="108.10000000000218"/>
    <n v="71.049999999999272"/>
    <n v="93.100000000002183"/>
  </r>
  <r>
    <x v="72"/>
    <x v="1"/>
    <n v="23150.3"/>
    <n v="23306.5"/>
    <n v="23145.8"/>
    <n v="23250.1"/>
    <n v="13.709999999999999"/>
    <n v="160.70000000000073"/>
    <n v="156.20000000000073"/>
    <n v="4.5"/>
    <n v="99.799999999999272"/>
  </r>
  <r>
    <x v="73"/>
    <x v="3"/>
    <n v="23949.15"/>
    <n v="24189.55"/>
    <n v="23903.65"/>
    <n v="24125.55"/>
    <n v="15.384374999999999"/>
    <n v="285.89999999999782"/>
    <n v="240.39999999999782"/>
    <n v="45.5"/>
    <n v="176.39999999999782"/>
  </r>
  <r>
    <x v="74"/>
    <x v="4"/>
    <n v="24185.4"/>
    <n v="24242.6"/>
    <n v="24072"/>
    <n v="24167.25"/>
    <n v="15.323125000000001"/>
    <n v="170.59999999999854"/>
    <n v="57.19999999999709"/>
    <n v="113.40000000000146"/>
    <n v="18.150000000001455"/>
  </r>
  <r>
    <x v="75"/>
    <x v="0"/>
    <n v="24357.599999999999"/>
    <n v="24359.3"/>
    <n v="24119.95"/>
    <n v="24328.95"/>
    <n v="15.137499999999999"/>
    <n v="239.34999999999854"/>
    <n v="1.7000000000007276"/>
    <n v="237.64999999999782"/>
    <n v="28.649999999997817"/>
  </r>
  <r>
    <x v="76"/>
    <x v="1"/>
    <n v="22476.35"/>
    <n v="22556.45"/>
    <n v="22245.85"/>
    <n v="22544.7"/>
    <n v="13.714375"/>
    <n v="310.60000000000218"/>
    <n v="80.100000000002183"/>
    <n v="230.5"/>
    <n v="68.350000000002183"/>
  </r>
  <r>
    <x v="77"/>
    <x v="2"/>
    <n v="24289"/>
    <n v="24365.45"/>
    <n v="23847.85"/>
    <n v="24039.35"/>
    <n v="16.725000000000001"/>
    <n v="517.60000000000218"/>
    <n v="76.450000000000728"/>
    <n v="441.15000000000146"/>
    <n v="249.65000000000146"/>
  </r>
  <r>
    <x v="78"/>
    <x v="3"/>
    <n v="24070.25"/>
    <n v="24355.1"/>
    <n v="24054.05"/>
    <n v="24328.5"/>
    <n v="17.198125000000001"/>
    <n v="301.04999999999927"/>
    <n v="284.84999999999854"/>
    <n v="16.200000000000728"/>
    <n v="258.25"/>
  </r>
  <r>
    <x v="79"/>
    <x v="4"/>
    <n v="24370.7"/>
    <n v="24457.65"/>
    <n v="24290.75"/>
    <n v="24335.95"/>
    <n v="16.990000000000002"/>
    <n v="166.90000000000146"/>
    <n v="86.950000000000728"/>
    <n v="79.950000000000728"/>
    <n v="34.75"/>
  </r>
  <r>
    <x v="80"/>
    <x v="0"/>
    <n v="24342.05"/>
    <n v="24396.15"/>
    <n v="24198.75"/>
    <n v="24334.2"/>
    <n v="17.533749999999998"/>
    <n v="197.40000000000146"/>
    <n v="54.100000000002183"/>
    <n v="143.29999999999927"/>
    <n v="7.8499999999985448"/>
  </r>
  <r>
    <x v="81"/>
    <x v="2"/>
    <n v="24311.9"/>
    <n v="24589.15"/>
    <n v="24238.5"/>
    <n v="24346.7"/>
    <n v="18.173750000000002"/>
    <n v="350.65000000000146"/>
    <n v="277.25"/>
    <n v="73.400000000001455"/>
    <n v="34.799999999999272"/>
  </r>
  <r>
    <x v="82"/>
    <x v="3"/>
    <n v="24419.5"/>
    <n v="24526.400000000001"/>
    <n v="24400.65"/>
    <n v="24461.15"/>
    <n v="18.365000000000002"/>
    <n v="125.75"/>
    <n v="106.90000000000146"/>
    <n v="18.849999999998545"/>
    <n v="41.650000000001455"/>
  </r>
  <r>
    <x v="83"/>
    <x v="4"/>
    <n v="24500.75"/>
    <n v="24509.65"/>
    <n v="24331.8"/>
    <n v="24379.599999999999"/>
    <n v="18.656874999999999"/>
    <n v="177.85000000000218"/>
    <n v="8.9000000000014552"/>
    <n v="168.95000000000073"/>
    <n v="121.15000000000146"/>
  </r>
  <r>
    <x v="84"/>
    <x v="0"/>
    <n v="24233.3"/>
    <n v="24449.599999999999"/>
    <n v="24220"/>
    <n v="24414.400000000001"/>
    <n v="19.037500000000001"/>
    <n v="229.59999999999854"/>
    <n v="216.29999999999927"/>
    <n v="13.299999999999272"/>
    <n v="181.10000000000218"/>
  </r>
  <r>
    <x v="85"/>
    <x v="1"/>
    <n v="25164.45"/>
    <n v="25196.2"/>
    <n v="24825.9"/>
    <n v="24888.2"/>
    <n v="13.772500000000001"/>
    <n v="370.29999999999927"/>
    <n v="31.75"/>
    <n v="338.54999999999927"/>
    <n v="276.25"/>
  </r>
  <r>
    <x v="86"/>
    <x v="2"/>
    <n v="23935.75"/>
    <n v="24164.25"/>
    <n v="23935.75"/>
    <n v="24008"/>
    <n v="21.596874999999997"/>
    <n v="228.5"/>
    <n v="228.5"/>
    <n v="0"/>
    <n v="72.25"/>
  </r>
  <r>
    <x v="87"/>
    <x v="3"/>
    <n v="24420.1"/>
    <n v="24944.799999999999"/>
    <n v="24378.85"/>
    <n v="24924.7"/>
    <n v="19.715624999999999"/>
    <n v="565.95000000000073"/>
    <n v="524.70000000000073"/>
    <n v="41.25"/>
    <n v="504.60000000000218"/>
  </r>
  <r>
    <x v="88"/>
    <x v="4"/>
    <n v="24864.05"/>
    <n v="24973.8"/>
    <n v="24547.5"/>
    <n v="24578.35"/>
    <n v="18.346875000000001"/>
    <n v="426.29999999999927"/>
    <n v="109.75"/>
    <n v="316.54999999999927"/>
    <n v="285.70000000000073"/>
  </r>
  <r>
    <x v="89"/>
    <x v="0"/>
    <n v="24613.8"/>
    <n v="24767.55"/>
    <n v="24535.55"/>
    <n v="24666.9"/>
    <n v="17.938749999999999"/>
    <n v="232"/>
    <n v="153.75"/>
    <n v="78.25"/>
    <n v="53.100000000002183"/>
  </r>
  <r>
    <x v="90"/>
    <x v="1"/>
    <n v="23761.95"/>
    <n v="23773.55"/>
    <n v="23556.25"/>
    <n v="23603.35"/>
    <n v="14.011875"/>
    <n v="217.29999999999927"/>
    <n v="11.599999999998545"/>
    <n v="205.70000000000073"/>
    <n v="158.60000000000218"/>
  </r>
  <r>
    <x v="91"/>
    <x v="2"/>
    <n v="25064.65"/>
    <n v="25070"/>
    <n v="24953.05"/>
    <n v="25019.8"/>
    <n v="16.678124999999998"/>
    <n v="116.95000000000073"/>
    <n v="5.3499999999985448"/>
    <n v="111.60000000000218"/>
    <n v="44.850000000002183"/>
  </r>
  <r>
    <x v="92"/>
    <x v="3"/>
    <n v="25005.35"/>
    <n v="25062.95"/>
    <n v="24916.65"/>
    <n v="24945.45"/>
    <n v="16.796250000000001"/>
    <n v="146.29999999999927"/>
    <n v="57.600000000002183"/>
    <n v="88.69999999999709"/>
    <n v="59.899999999997817"/>
  </r>
  <r>
    <x v="93"/>
    <x v="4"/>
    <n v="24996.2"/>
    <n v="25010.35"/>
    <n v="24669.7"/>
    <n v="24683.9"/>
    <n v="17.093125000000001"/>
    <n v="340.64999999999782"/>
    <n v="14.149999999997817"/>
    <n v="326.5"/>
    <n v="312.29999999999927"/>
  </r>
  <r>
    <x v="94"/>
    <x v="0"/>
    <n v="24744.25"/>
    <n v="24946.2"/>
    <n v="24685.35"/>
    <n v="24813.45"/>
    <n v="17.493749999999999"/>
    <n v="260.85000000000218"/>
    <n v="201.95000000000073"/>
    <n v="58.900000000001455"/>
    <n v="69.200000000000728"/>
  </r>
  <r>
    <x v="95"/>
    <x v="1"/>
    <n v="24803.25"/>
    <n v="24863.1"/>
    <n v="24733.4"/>
    <n v="24793.25"/>
    <n v="14.161249999999999"/>
    <n v="129.69999999999709"/>
    <n v="59.849999999998545"/>
    <n v="69.849999999998545"/>
    <n v="10"/>
  </r>
  <r>
    <x v="96"/>
    <x v="2"/>
    <n v="24639.5"/>
    <n v="24909.05"/>
    <n v="24614.05"/>
    <n v="24853.15"/>
    <n v="16.88625"/>
    <n v="295"/>
    <n v="269.54999999999927"/>
    <n v="25.450000000000728"/>
    <n v="213.65000000000146"/>
  </r>
  <r>
    <x v="97"/>
    <x v="3"/>
    <n v="24919.35"/>
    <n v="25079.200000000001"/>
    <n v="24900.5"/>
    <n v="25001.15"/>
    <n v="17.441875"/>
    <n v="178.70000000000073"/>
    <n v="159.85000000000218"/>
    <n v="18.849999999998545"/>
    <n v="81.80000000000291"/>
  </r>
  <r>
    <x v="98"/>
    <x v="4"/>
    <n v="24956.65"/>
    <n v="25062.9"/>
    <n v="24704.1"/>
    <n v="24826.2"/>
    <n v="18.291249999999998"/>
    <n v="358.80000000000291"/>
    <n v="106.25"/>
    <n v="252.55000000000291"/>
    <n v="130.45000000000073"/>
  </r>
  <r>
    <x v="99"/>
    <x v="0"/>
    <n v="24832.5"/>
    <n v="24864.25"/>
    <n v="24737.05"/>
    <n v="24752.45"/>
    <n v="18.366250000000001"/>
    <n v="127.20000000000073"/>
    <n v="31.75"/>
    <n v="95.450000000000728"/>
    <n v="80.049999999999272"/>
  </r>
  <r>
    <x v="100"/>
    <x v="1"/>
    <n v="23783"/>
    <n v="24226.7"/>
    <n v="23751.55"/>
    <n v="24188.65"/>
    <n v="14.169375000000002"/>
    <n v="475.15000000000146"/>
    <n v="443.70000000000073"/>
    <n v="31.450000000000728"/>
    <n v="405.65000000000146"/>
  </r>
  <r>
    <x v="101"/>
    <x v="2"/>
    <n v="24812.6"/>
    <n v="24863.95"/>
    <n v="24717.4"/>
    <n v="24750.7"/>
    <n v="16.083125000000003"/>
    <n v="146.54999999999927"/>
    <n v="51.350000000002183"/>
    <n v="95.19999999999709"/>
    <n v="61.899999999997817"/>
  </r>
  <r>
    <x v="102"/>
    <x v="3"/>
    <n v="24669.7"/>
    <n v="24754.400000000001"/>
    <n v="24526.15"/>
    <n v="24716.6"/>
    <n v="16.760625000000001"/>
    <n v="228.25"/>
    <n v="84.700000000000728"/>
    <n v="143.54999999999927"/>
    <n v="46.899999999997817"/>
  </r>
  <r>
    <x v="103"/>
    <x v="4"/>
    <n v="24786.3"/>
    <n v="24845.1"/>
    <n v="24502.15"/>
    <n v="24542.5"/>
    <n v="16.925625"/>
    <n v="342.94999999999709"/>
    <n v="58.799999999999272"/>
    <n v="284.14999999999782"/>
    <n v="243.79999999999927"/>
  </r>
  <r>
    <x v="104"/>
    <x v="0"/>
    <n v="24560.45"/>
    <n v="24644.25"/>
    <n v="24530.45"/>
    <n v="24620.2"/>
    <n v="16.248750000000001"/>
    <n v="113.79999999999927"/>
    <n v="83.799999999999272"/>
    <n v="30"/>
    <n v="59.75"/>
  </r>
  <r>
    <x v="105"/>
    <x v="1"/>
    <n v="23055.75"/>
    <n v="23235.5"/>
    <n v="22992.2"/>
    <n v="23031.4"/>
    <n v="14.3775"/>
    <n v="243.29999999999927"/>
    <n v="179.75"/>
    <n v="63.549999999999272"/>
    <n v="24.349999999998545"/>
  </r>
  <r>
    <x v="106"/>
    <x v="2"/>
    <n v="24748.7"/>
    <n v="25029.5"/>
    <n v="24671.45"/>
    <n v="25003.05"/>
    <n v="14.922500000000001"/>
    <n v="358.04999999999927"/>
    <n v="280.79999999999927"/>
    <n v="77.25"/>
    <n v="254.34999999999854"/>
  </r>
  <r>
    <x v="107"/>
    <x v="3"/>
    <n v="25160.1"/>
    <n v="25160.1"/>
    <n v="25077.15"/>
    <n v="25103.200000000001"/>
    <n v="14.8675"/>
    <n v="82.94999999999709"/>
    <n v="0"/>
    <n v="82.94999999999709"/>
    <n v="56.899999999997817"/>
  </r>
  <r>
    <x v="108"/>
    <x v="4"/>
    <n v="25196.05"/>
    <n v="25199.3"/>
    <n v="25055.45"/>
    <n v="25104.25"/>
    <n v="14.346250000000001"/>
    <n v="143.84999999999854"/>
    <n v="3.25"/>
    <n v="140.59999999999854"/>
    <n v="91.799999999999272"/>
  </r>
  <r>
    <x v="109"/>
    <x v="0"/>
    <n v="25134.15"/>
    <n v="25222.400000000001"/>
    <n v="25081.3"/>
    <n v="25141.4"/>
    <n v="13.849375"/>
    <n v="141.10000000000218"/>
    <n v="88.25"/>
    <n v="52.850000000002183"/>
    <n v="7.25"/>
  </r>
  <r>
    <x v="110"/>
    <x v="1"/>
    <n v="23674.75"/>
    <n v="23689.5"/>
    <n v="23503.05"/>
    <n v="23526.5"/>
    <n v="14.438750000000001"/>
    <n v="186.45000000000073"/>
    <n v="14.75"/>
    <n v="171.70000000000073"/>
    <n v="148.25"/>
  </r>
  <r>
    <x v="111"/>
    <x v="2"/>
    <n v="24473"/>
    <n v="24754.35"/>
    <n v="24473"/>
    <n v="24718.6"/>
    <n v="14.77125"/>
    <n v="281.34999999999854"/>
    <n v="281.34999999999854"/>
    <n v="0"/>
    <n v="245.59999999999854"/>
  </r>
  <r>
    <x v="112"/>
    <x v="3"/>
    <n v="24732.35"/>
    <n v="24967.1"/>
    <n v="24703.599999999999"/>
    <n v="24946.5"/>
    <n v="14.986250000000002"/>
    <n v="263.5"/>
    <n v="234.75"/>
    <n v="28.75"/>
    <n v="214.15000000000146"/>
  </r>
  <r>
    <x v="113"/>
    <x v="4"/>
    <n v="24977.85"/>
    <n v="24982.05"/>
    <n v="24813.7"/>
    <n v="24853.4"/>
    <n v="14.639999999999999"/>
    <n v="168.34999999999854"/>
    <n v="4.2000000000007276"/>
    <n v="164.14999999999782"/>
    <n v="124.44999999999709"/>
  </r>
  <r>
    <x v="114"/>
    <x v="0"/>
    <n v="24788.35"/>
    <n v="24947.55"/>
    <n v="24750.45"/>
    <n v="24812.05"/>
    <n v="14.401250000000001"/>
    <n v="197.09999999999854"/>
    <n v="159.20000000000073"/>
    <n v="37.899999999997817"/>
    <n v="23.700000000000728"/>
  </r>
  <r>
    <x v="115"/>
    <x v="1"/>
    <n v="23377.25"/>
    <n v="23391.65"/>
    <n v="23272.05"/>
    <n v="23311.8"/>
    <n v="15.063124999999999"/>
    <n v="119.60000000000218"/>
    <n v="14.400000000001455"/>
    <n v="105.20000000000073"/>
    <n v="65.450000000000728"/>
  </r>
  <r>
    <x v="116"/>
    <x v="2"/>
    <n v="24787.65"/>
    <n v="25136.2"/>
    <n v="24783.65"/>
    <n v="25112.400000000001"/>
    <n v="13.875625000000001"/>
    <n v="352.54999999999927"/>
    <n v="348.54999999999927"/>
    <n v="4"/>
    <n v="324.75"/>
  </r>
  <r>
    <x v="117"/>
    <x v="3"/>
    <n v="24939.75"/>
    <n v="25057"/>
    <n v="24824.85"/>
    <n v="24971.9"/>
    <n v="13.976875"/>
    <n v="232.15000000000146"/>
    <n v="117.25"/>
    <n v="114.90000000000146"/>
    <n v="32.150000000001455"/>
  </r>
  <r>
    <x v="118"/>
    <x v="4"/>
    <n v="25179.9"/>
    <n v="25317.7"/>
    <n v="24999.7"/>
    <n v="25044.35"/>
    <n v="13.834375"/>
    <n v="318"/>
    <n v="137.79999999999927"/>
    <n v="180.20000000000073"/>
    <n v="135.55000000000291"/>
  </r>
  <r>
    <x v="119"/>
    <x v="0"/>
    <n v="25150.35"/>
    <n v="25266.799999999999"/>
    <n v="25125.05"/>
    <n v="25244.75"/>
    <n v="13.286250000000001"/>
    <n v="141.75"/>
    <n v="116.45000000000073"/>
    <n v="25.299999999999272"/>
    <n v="94.400000000001455"/>
  </r>
  <r>
    <x v="120"/>
    <x v="1"/>
    <n v="22821.1"/>
    <n v="22923.85"/>
    <n v="22812.75"/>
    <n v="22913.15"/>
    <n v="15.160624999999998"/>
    <n v="111.09999999999854"/>
    <n v="102.75"/>
    <n v="8.3499999999985448"/>
    <n v="92.05000000000291"/>
  </r>
  <r>
    <x v="121"/>
    <x v="2"/>
    <n v="25576.65"/>
    <n v="25654.2"/>
    <n v="25523.55"/>
    <n v="25637.8"/>
    <n v="12.55625"/>
    <n v="130.65000000000146"/>
    <n v="77.549999999999272"/>
    <n v="53.100000000002183"/>
    <n v="61.149999999997817"/>
  </r>
  <r>
    <x v="122"/>
    <x v="3"/>
    <n v="25661.65"/>
    <n v="25669.35"/>
    <n v="25473.3"/>
    <n v="25517.05"/>
    <n v="12.648124999999999"/>
    <n v="196.04999999999927"/>
    <n v="7.6999999999970896"/>
    <n v="188.35000000000218"/>
    <n v="144.60000000000218"/>
  </r>
  <r>
    <x v="123"/>
    <x v="4"/>
    <n v="25551.35"/>
    <n v="25593.4"/>
    <n v="25501.8"/>
    <n v="25541.8"/>
    <n v="12.686250000000001"/>
    <n v="91.600000000002183"/>
    <n v="42.05000000000291"/>
    <n v="49.549999999999272"/>
    <n v="9.5499999999992724"/>
  </r>
  <r>
    <x v="124"/>
    <x v="0"/>
    <n v="25588.3"/>
    <n v="25608.1"/>
    <n v="25378.75"/>
    <n v="25453.4"/>
    <n v="12.495000000000001"/>
    <n v="229.34999999999854"/>
    <n v="19.799999999999272"/>
    <n v="209.54999999999927"/>
    <n v="134.89999999999782"/>
  </r>
  <r>
    <x v="125"/>
    <x v="1"/>
    <n v="24691.200000000001"/>
    <n v="24899.85"/>
    <n v="24613.1"/>
    <n v="24750.9"/>
    <n v="15.434999999999999"/>
    <n v="286.75"/>
    <n v="208.64999999999782"/>
    <n v="78.100000000002183"/>
    <n v="59.700000000000728"/>
  </r>
  <r>
    <x v="126"/>
    <x v="2"/>
    <n v="25428.85"/>
    <n v="25470.25"/>
    <n v="25331.65"/>
    <n v="25461"/>
    <n v="12.410625"/>
    <n v="138.59999999999854"/>
    <n v="41.400000000001455"/>
    <n v="97.19999999999709"/>
    <n v="32.150000000001455"/>
  </r>
  <r>
    <x v="127"/>
    <x v="3"/>
    <n v="25450.45"/>
    <n v="25489.8"/>
    <n v="25407.25"/>
    <n v="25461.3"/>
    <n v="12.401249999999999"/>
    <n v="82.549999999999272"/>
    <n v="39.349999999998545"/>
    <n v="43.200000000000728"/>
    <n v="10.849999999998545"/>
  </r>
  <r>
    <x v="128"/>
    <x v="4"/>
    <n v="25427.85"/>
    <n v="25548.05"/>
    <n v="25424.15"/>
    <n v="25522.5"/>
    <n v="12.381250000000001"/>
    <n v="123.89999999999782"/>
    <n v="120.20000000000073"/>
    <n v="3.6999999999970896"/>
    <n v="94.650000000001455"/>
  </r>
  <r>
    <x v="129"/>
    <x v="0"/>
    <n v="25514.6"/>
    <n v="25548.7"/>
    <n v="25424.35"/>
    <n v="25476.1"/>
    <n v="12.059999999999999"/>
    <n v="124.35000000000218"/>
    <n v="34.100000000002183"/>
    <n v="90.25"/>
    <n v="38.5"/>
  </r>
  <r>
    <x v="130"/>
    <x v="1"/>
    <n v="23401.85"/>
    <n v="23872.35"/>
    <n v="23298.55"/>
    <n v="23851.65"/>
    <n v="15.721875000000001"/>
    <n v="573.79999999999927"/>
    <n v="470.5"/>
    <n v="103.29999999999927"/>
    <n v="449.80000000000291"/>
  </r>
  <r>
    <x v="131"/>
    <x v="2"/>
    <n v="25255.5"/>
    <n v="25322.45"/>
    <n v="25129"/>
    <n v="25149.85"/>
    <n v="11.7875"/>
    <n v="193.45000000000073"/>
    <n v="66.950000000000728"/>
    <n v="126.5"/>
    <n v="105.65000000000146"/>
  </r>
  <r>
    <x v="132"/>
    <x v="3"/>
    <n v="25149.5"/>
    <n v="25151.1"/>
    <n v="25001.95"/>
    <n v="25082.3"/>
    <n v="12.008749999999999"/>
    <n v="149.14999999999782"/>
    <n v="1.5999999999985448"/>
    <n v="147.54999999999927"/>
    <n v="67.200000000000728"/>
  </r>
  <r>
    <x v="133"/>
    <x v="4"/>
    <n v="25089.5"/>
    <n v="25245.200000000001"/>
    <n v="25088.45"/>
    <n v="25195.8"/>
    <n v="11.7225"/>
    <n v="156.75"/>
    <n v="155.70000000000073"/>
    <n v="1.0499999999992724"/>
    <n v="106.29999999999927"/>
  </r>
  <r>
    <x v="134"/>
    <x v="0"/>
    <n v="25196.6"/>
    <n v="25255.3"/>
    <n v="25121.05"/>
    <n v="25212.05"/>
    <n v="11.39625"/>
    <n v="134.25"/>
    <n v="58.700000000000728"/>
    <n v="75.549999999999272"/>
    <n v="15.450000000000728"/>
  </r>
  <r>
    <x v="135"/>
    <x v="1"/>
    <n v="24277.9"/>
    <n v="24347.85"/>
    <n v="24216.15"/>
    <n v="24246.7"/>
    <n v="16.131250000000001"/>
    <n v="131.69999999999709"/>
    <n v="69.94999999999709"/>
    <n v="61.75"/>
    <n v="31.200000000000728"/>
  </r>
  <r>
    <x v="136"/>
    <x v="2"/>
    <n v="25108.55"/>
    <n v="25144.6"/>
    <n v="24918.65"/>
    <n v="24968.400000000001"/>
    <n v="11.098125"/>
    <n v="225.94999999999709"/>
    <n v="36.049999999999272"/>
    <n v="189.89999999999782"/>
    <n v="140.14999999999782"/>
  </r>
  <r>
    <x v="137"/>
    <x v="3"/>
    <n v="24999"/>
    <n v="25111.4"/>
    <n v="24882.3"/>
    <n v="25090.7"/>
    <n v="11.405625000000001"/>
    <n v="229.10000000000218"/>
    <n v="112.40000000000146"/>
    <n v="116.70000000000073"/>
    <n v="91.700000000000728"/>
  </r>
  <r>
    <x v="138"/>
    <x v="4"/>
    <n v="25166.65"/>
    <n v="25182"/>
    <n v="25035.55"/>
    <n v="25060.9"/>
    <n v="10.966875"/>
    <n v="146.45000000000073"/>
    <n v="15.349999999998545"/>
    <n v="131.10000000000218"/>
    <n v="105.75"/>
  </r>
  <r>
    <x v="139"/>
    <x v="0"/>
    <n v="25139.35"/>
    <n v="25233.5"/>
    <n v="25085.5"/>
    <n v="25219.9"/>
    <n v="10.561250000000001"/>
    <n v="148"/>
    <n v="94.150000000001455"/>
    <n v="53.849999999998545"/>
    <n v="80.55000000000291"/>
  </r>
  <r>
    <x v="140"/>
    <x v="1"/>
    <n v="23128.3"/>
    <n v="23270.799999999999"/>
    <n v="23090.65"/>
    <n v="23205.35"/>
    <n v="16.554375"/>
    <n v="180.14999999999782"/>
    <n v="142.5"/>
    <n v="37.649999999997817"/>
    <n v="77.049999999999272"/>
  </r>
  <r>
    <x v="141"/>
    <x v="2"/>
    <n v="25010.35"/>
    <n v="25010.35"/>
    <n v="24806.35"/>
    <n v="24837"/>
    <n v="11.049375000000001"/>
    <n v="204"/>
    <n v="0"/>
    <n v="204"/>
    <n v="173.34999999999854"/>
  </r>
  <r>
    <x v="142"/>
    <x v="3"/>
    <n v="24782.45"/>
    <n v="24889.200000000001"/>
    <n v="24646.6"/>
    <n v="24680.9"/>
    <n v="11.4725"/>
    <n v="242.60000000000218"/>
    <n v="106.75"/>
    <n v="135.85000000000218"/>
    <n v="101.54999999999927"/>
  </r>
  <r>
    <x v="143"/>
    <x v="4"/>
    <n v="24609.65"/>
    <n v="24847.15"/>
    <n v="24598.6"/>
    <n v="24821.1"/>
    <n v="11.823125000000001"/>
    <n v="248.55000000000291"/>
    <n v="237.5"/>
    <n v="11.05000000000291"/>
    <n v="211.44999999999709"/>
  </r>
  <r>
    <x v="144"/>
    <x v="0"/>
    <n v="24890.400000000001"/>
    <n v="24902.3"/>
    <n v="24771.95"/>
    <n v="24855.05"/>
    <n v="11.280625000000001"/>
    <n v="130.34999999999854"/>
    <n v="11.899999999997817"/>
    <n v="118.45000000000073"/>
    <n v="35.350000000002183"/>
  </r>
  <r>
    <x v="145"/>
    <x v="1"/>
    <n v="24694.45"/>
    <n v="25116.25"/>
    <n v="24494.45"/>
    <n v="25062.1"/>
    <n v="17.126874999999998"/>
    <n v="621.79999999999927"/>
    <n v="421.79999999999927"/>
    <n v="200"/>
    <n v="367.64999999999782"/>
  </r>
  <r>
    <x v="146"/>
    <x v="2"/>
    <n v="24734.9"/>
    <n v="24784.15"/>
    <n v="24535.05"/>
    <n v="24565.35"/>
    <n v="11.758749999999999"/>
    <n v="249.10000000000218"/>
    <n v="49.25"/>
    <n v="199.85000000000218"/>
    <n v="169.55000000000291"/>
  </r>
  <r>
    <x v="147"/>
    <x v="3"/>
    <n v="24596.05"/>
    <n v="24736.25"/>
    <n v="24554"/>
    <n v="24722.75"/>
    <n v="12.094374999999999"/>
    <n v="182.25"/>
    <n v="140.20000000000073"/>
    <n v="42.049999999999272"/>
    <n v="126.70000000000073"/>
  </r>
  <r>
    <x v="148"/>
    <x v="4"/>
    <n v="24720.25"/>
    <n v="24733.1"/>
    <n v="24590.3"/>
    <n v="24649.55"/>
    <n v="11.873749999999999"/>
    <n v="142.79999999999927"/>
    <n v="12.849999999998545"/>
    <n v="129.95000000000073"/>
    <n v="70.700000000000728"/>
  </r>
  <r>
    <x v="149"/>
    <x v="0"/>
    <n v="24641.35"/>
    <n v="24671.4"/>
    <n v="24539.200000000001"/>
    <n v="24574.2"/>
    <n v="11.594374999999999"/>
    <n v="132.20000000000073"/>
    <n v="30.05000000000291"/>
    <n v="102.14999999999782"/>
    <n v="67.149999999997817"/>
  </r>
  <r>
    <x v="150"/>
    <x v="1"/>
    <n v="24825.1"/>
    <n v="24892.6"/>
    <n v="24677.3"/>
    <n v="24833.599999999999"/>
    <n v="17.165624999999999"/>
    <n v="215.29999999999927"/>
    <n v="67.5"/>
    <n v="147.79999999999927"/>
    <n v="8.5"/>
  </r>
  <r>
    <x v="151"/>
    <x v="2"/>
    <n v="24544.25"/>
    <n v="24585.5"/>
    <n v="24337.5"/>
    <n v="24363.3"/>
    <n v="11.703125"/>
    <n v="248"/>
    <n v="41.25"/>
    <n v="206.75"/>
    <n v="180.95000000000073"/>
  </r>
  <r>
    <x v="152"/>
    <x v="3"/>
    <n v="24371.5"/>
    <n v="24600.85"/>
    <n v="24347.45"/>
    <n v="24585.05"/>
    <n v="12.25375"/>
    <n v="253.39999999999782"/>
    <n v="229.34999999999854"/>
    <n v="24.049999999999272"/>
    <n v="213.54999999999927"/>
  </r>
  <r>
    <x v="153"/>
    <x v="4"/>
    <n v="24563.35"/>
    <n v="24702.6"/>
    <n v="24465.65"/>
    <n v="24487.4"/>
    <n v="12.116250000000001"/>
    <n v="236.94999999999709"/>
    <n v="139.25"/>
    <n v="97.69999999999709"/>
    <n v="75.94999999999709"/>
  </r>
  <r>
    <x v="154"/>
    <x v="0"/>
    <n v="24586.2"/>
    <n v="24664.55"/>
    <n v="24535.25"/>
    <n v="24619.35"/>
    <n v="11.875624999999999"/>
    <n v="129.29999999999927"/>
    <n v="78.349999999998545"/>
    <n v="50.950000000000728"/>
    <n v="33.149999999997817"/>
  </r>
  <r>
    <x v="155"/>
    <x v="1"/>
    <n v="24733.95"/>
    <n v="24737.5"/>
    <n v="24462.400000000001"/>
    <n v="24609.7"/>
    <n v="17.428750000000001"/>
    <n v="275.09999999999854"/>
    <n v="3.5499999999992724"/>
    <n v="271.54999999999927"/>
    <n v="124.25"/>
  </r>
  <r>
    <x v="156"/>
    <x v="3"/>
    <n v="24938.2"/>
    <n v="25022"/>
    <n v="24852.85"/>
    <n v="24876.95"/>
    <n v="12.477499999999999"/>
    <n v="169.15000000000146"/>
    <n v="83.799999999999272"/>
    <n v="85.350000000002183"/>
    <n v="61.25"/>
  </r>
  <r>
    <x v="157"/>
    <x v="4"/>
    <n v="24891.35"/>
    <n v="25012.65"/>
    <n v="24873.95"/>
    <n v="24980.65"/>
    <n v="12.057499999999999"/>
    <n v="138.70000000000073"/>
    <n v="121.30000000000291"/>
    <n v="17.399999999997817"/>
    <n v="89.30000000000291"/>
  </r>
  <r>
    <x v="158"/>
    <x v="0"/>
    <n v="24965.8"/>
    <n v="25088.7"/>
    <n v="24929.7"/>
    <n v="25050.55"/>
    <n v="11.438750000000001"/>
    <n v="159"/>
    <n v="122.90000000000146"/>
    <n v="36.099999999998545"/>
    <n v="84.75"/>
  </r>
  <r>
    <x v="159"/>
    <x v="1"/>
    <n v="23169.5"/>
    <n v="23322.05"/>
    <n v="23139.200000000001"/>
    <n v="23249.5"/>
    <n v="18.058125"/>
    <n v="182.84999999999854"/>
    <n v="152.54999999999927"/>
    <n v="30.299999999999272"/>
    <n v="80"/>
  </r>
  <r>
    <x v="160"/>
    <x v="2"/>
    <n v="25064.15"/>
    <n v="25084.85"/>
    <n v="24859.15"/>
    <n v="24870.1"/>
    <n v="11.395624999999999"/>
    <n v="225.69999999999709"/>
    <n v="20.69999999999709"/>
    <n v="205"/>
    <n v="194.05000000000291"/>
  </r>
  <r>
    <x v="161"/>
    <x v="3"/>
    <n v="24949.15"/>
    <n v="25021.55"/>
    <n v="24894.35"/>
    <n v="24967.75"/>
    <n v="11.844999999999999"/>
    <n v="127.20000000000073"/>
    <n v="72.399999999997817"/>
    <n v="54.80000000000291"/>
    <n v="18.599999999998545"/>
  </r>
  <r>
    <x v="162"/>
    <x v="4"/>
    <n v="24899.5"/>
    <n v="24919.65"/>
    <n v="24689.599999999999"/>
    <n v="24712.05"/>
    <n v="11.855625"/>
    <n v="230.05000000000291"/>
    <n v="20.150000000001455"/>
    <n v="209.90000000000146"/>
    <n v="187.45000000000073"/>
  </r>
  <r>
    <x v="163"/>
    <x v="1"/>
    <n v="24431.5"/>
    <n v="24447.25"/>
    <n v="24150.2"/>
    <n v="24273.8"/>
    <n v="20.028750000000002"/>
    <n v="297.04999999999927"/>
    <n v="15.75"/>
    <n v="281.29999999999927"/>
    <n v="157.70000000000073"/>
  </r>
  <r>
    <x v="164"/>
    <x v="2"/>
    <n v="24466.7"/>
    <n v="24572.45"/>
    <n v="24404.7"/>
    <n v="24426.85"/>
    <n v="11.930625000000001"/>
    <n v="167.75"/>
    <n v="105.75"/>
    <n v="62"/>
    <n v="39.850000000002183"/>
  </r>
  <r>
    <x v="165"/>
    <x v="3"/>
    <n v="24432.7"/>
    <n v="24635.599999999999"/>
    <n v="24432.7"/>
    <n v="24625.05"/>
    <n v="11.618124999999999"/>
    <n v="202.89999999999782"/>
    <n v="202.89999999999782"/>
    <n v="0"/>
    <n v="192.34999999999854"/>
  </r>
  <r>
    <x v="166"/>
    <x v="4"/>
    <n v="24653"/>
    <n v="24756.1"/>
    <n v="24522.35"/>
    <n v="24579.599999999999"/>
    <n v="11.313750000000001"/>
    <n v="233.75"/>
    <n v="103.09999999999854"/>
    <n v="130.65000000000146"/>
    <n v="73.400000000001455"/>
  </r>
  <r>
    <x v="167"/>
    <x v="0"/>
    <n v="24616.5"/>
    <n v="24737.05"/>
    <n v="24533.200000000001"/>
    <n v="24715.05"/>
    <n v="11.189375"/>
    <n v="203.84999999999854"/>
    <n v="120.54999999999927"/>
    <n v="83.299999999999272"/>
    <n v="98.549999999999272"/>
  </r>
  <r>
    <x v="168"/>
    <x v="1"/>
    <n v="24980.75"/>
    <n v="24980.75"/>
    <n v="24708.2"/>
    <n v="24734.3"/>
    <n v="10.8775"/>
    <n v="272.54999999999927"/>
    <n v="0"/>
    <n v="272.54999999999927"/>
    <n v="246.45000000000073"/>
  </r>
  <r>
    <x v="169"/>
    <x v="2"/>
    <n v="24818.85"/>
    <n v="24832.35"/>
    <n v="24621.599999999999"/>
    <n v="24741"/>
    <n v="10.755000000000001"/>
    <n v="210.75"/>
    <n v="13.5"/>
    <n v="197.25"/>
    <n v="77.849999999998545"/>
  </r>
  <r>
    <x v="170"/>
    <x v="3"/>
    <n v="24802.6"/>
    <n v="24885.5"/>
    <n v="24751.55"/>
    <n v="24773.15"/>
    <n v="10.780625000000001"/>
    <n v="133.95000000000073"/>
    <n v="82.900000000001455"/>
    <n v="51.049999999999272"/>
    <n v="29.44999999999709"/>
  </r>
  <r>
    <x v="171"/>
    <x v="4"/>
    <n v="24864.1"/>
    <n v="24891.8"/>
    <n v="24814"/>
    <n v="24868.6"/>
    <n v="10.7075"/>
    <n v="77.799999999999272"/>
    <n v="27.700000000000728"/>
    <n v="50.099999999998545"/>
    <n v="4.5"/>
  </r>
  <r>
    <x v="172"/>
    <x v="0"/>
    <n v="24991"/>
    <n v="25035.7"/>
    <n v="24915.05"/>
    <n v="24973.1"/>
    <n v="10.578125"/>
    <n v="120.65000000000146"/>
    <n v="44.700000000000728"/>
    <n v="75.950000000000728"/>
    <n v="17.900000000001455"/>
  </r>
  <r>
    <x v="173"/>
    <x v="1"/>
    <n v="24945.5"/>
    <n v="25037.3"/>
    <n v="24940.15"/>
    <n v="25005.5"/>
    <n v="10.464374999999999"/>
    <n v="97.149999999997817"/>
    <n v="91.799999999999272"/>
    <n v="5.3499999999985448"/>
    <n v="60"/>
  </r>
  <r>
    <x v="174"/>
    <x v="2"/>
    <n v="25074.45"/>
    <n v="25139.45"/>
    <n v="25038.05"/>
    <n v="25114"/>
    <n v="10.172499999999999"/>
    <n v="101.40000000000146"/>
    <n v="65"/>
    <n v="36.400000000001455"/>
    <n v="39.549999999999272"/>
  </r>
  <r>
    <x v="175"/>
    <x v="3"/>
    <n v="25118.9"/>
    <n v="25138.45"/>
    <n v="25048.75"/>
    <n v="25069.200000000001"/>
    <n v="10.276875"/>
    <n v="89.700000000000728"/>
    <n v="19.549999999999272"/>
    <n v="70.150000000001455"/>
    <n v="49.700000000000728"/>
  </r>
  <r>
    <x v="176"/>
    <x v="4"/>
    <n v="25073.599999999999"/>
    <n v="25261.4"/>
    <n v="25070.45"/>
    <n v="25239.1"/>
    <n v="10.230625"/>
    <n v="190.95000000000073"/>
    <n v="187.80000000000291"/>
    <n v="3.1499999999978172"/>
    <n v="165.5"/>
  </r>
  <r>
    <x v="177"/>
    <x v="0"/>
    <n v="25276.6"/>
    <n v="25346.5"/>
    <n v="25275.35"/>
    <n v="25330.25"/>
    <n v="10.123750000000001"/>
    <n v="71.150000000001455"/>
    <n v="69.900000000001455"/>
    <n v="1.25"/>
    <n v="53.650000000001455"/>
  </r>
  <r>
    <x v="178"/>
    <x v="1"/>
    <n v="25441.05"/>
    <n v="25448.55"/>
    <n v="25329.75"/>
    <n v="25423.599999999999"/>
    <n v="9.9693749999999994"/>
    <n v="118.79999999999927"/>
    <n v="7.5"/>
    <n v="111.29999999999927"/>
    <n v="17.450000000000728"/>
  </r>
  <r>
    <x v="179"/>
    <x v="2"/>
    <n v="25410.2"/>
    <n v="25431.4"/>
    <n v="25286.3"/>
    <n v="25327.05"/>
    <n v="9.8768750000000001"/>
    <n v="145.10000000000218"/>
    <n v="21.200000000000728"/>
    <n v="123.90000000000146"/>
    <n v="83.150000000001455"/>
  </r>
  <r>
    <x v="180"/>
    <x v="3"/>
    <n v="25238.1"/>
    <n v="25331.7"/>
    <n v="25151.05"/>
    <n v="25202.35"/>
    <n v="10.306875"/>
    <n v="180.65000000000146"/>
    <n v="93.600000000002183"/>
    <n v="87.049999999999272"/>
    <n v="35.75"/>
  </r>
  <r>
    <x v="181"/>
    <x v="4"/>
    <n v="25209"/>
    <n v="25261.9"/>
    <n v="25084.65"/>
    <n v="25169.5"/>
    <n v="10.513125"/>
    <n v="177.25"/>
    <n v="52.900000000001455"/>
    <n v="124.34999999999854"/>
    <n v="39.5"/>
  </r>
  <r>
    <x v="182"/>
    <x v="0"/>
    <n v="25108.75"/>
    <n v="25149.85"/>
    <n v="25027.45"/>
    <n v="25056.9"/>
    <n v="10.5375"/>
    <n v="122.39999999999782"/>
    <n v="41.099999999998545"/>
    <n v="81.299999999999272"/>
    <n v="51.849999999998545"/>
  </r>
  <r>
    <x v="183"/>
    <x v="1"/>
    <n v="25034.5"/>
    <n v="25092.7"/>
    <n v="24878.3"/>
    <n v="24890.85"/>
    <n v="10.62125"/>
    <n v="214.40000000000146"/>
    <n v="58.200000000000728"/>
    <n v="156.20000000000073"/>
    <n v="143.65000000000146"/>
  </r>
  <r>
    <x v="184"/>
    <x v="2"/>
    <n v="24818.55"/>
    <n v="24868.6"/>
    <n v="24629.45"/>
    <n v="24654.7"/>
    <n v="11.015000000000001"/>
    <n v="239.14999999999782"/>
    <n v="50.049999999999272"/>
    <n v="189.09999999999854"/>
    <n v="163.84999999999854"/>
  </r>
  <r>
    <x v="185"/>
    <x v="3"/>
    <n v="24728.55"/>
    <n v="24791.3"/>
    <n v="24606.2"/>
    <n v="24634.9"/>
    <n v="11.28375"/>
    <n v="185.09999999999854"/>
    <n v="62.75"/>
    <n v="122.34999999999854"/>
    <n v="93.649999999997817"/>
  </r>
  <r>
    <x v="186"/>
    <x v="4"/>
    <n v="24691.95"/>
    <n v="24731.8"/>
    <n v="24587.7"/>
    <n v="24611.1"/>
    <n v="11.288124999999999"/>
    <n v="144.09999999999854"/>
    <n v="39.849999999998545"/>
    <n v="104.25"/>
    <n v="80.850000000002183"/>
  </r>
  <r>
    <x v="187"/>
    <x v="0"/>
    <n v="24620.55"/>
    <n v="24867.95"/>
    <n v="24605.95"/>
    <n v="24836.3"/>
    <n v="10.690624999999999"/>
    <n v="262"/>
    <n v="247.40000000000146"/>
    <n v="14.599999999998545"/>
    <n v="215.75"/>
  </r>
  <r>
    <x v="188"/>
    <x v="2"/>
    <n v="24759.55"/>
    <n v="24904.799999999999"/>
    <n v="24747.55"/>
    <n v="24894.25"/>
    <n v="10.22875"/>
    <n v="157.25"/>
    <n v="145.25"/>
    <n v="12"/>
    <n v="134.70000000000073"/>
  </r>
  <r>
    <x v="189"/>
    <x v="3"/>
    <n v="24916.55"/>
    <n v="25095.95"/>
    <n v="24881.65"/>
    <n v="25077.65"/>
    <n v="10.11125"/>
    <n v="214.29999999999927"/>
    <n v="179.40000000000146"/>
    <n v="34.899999999997817"/>
    <n v="161.10000000000218"/>
  </r>
  <r>
    <x v="190"/>
    <x v="4"/>
    <n v="25085.3"/>
    <n v="25220.9"/>
    <n v="25076.3"/>
    <n v="25108.3"/>
    <n v="10.173124999999999"/>
    <n v="144.60000000000218"/>
    <n v="135.60000000000218"/>
    <n v="9"/>
    <n v="23"/>
  </r>
  <r>
    <x v="191"/>
    <x v="0"/>
    <n v="25079.75"/>
    <n v="25192.5"/>
    <n v="25008.5"/>
    <n v="25046.15"/>
    <n v="10.1425"/>
    <n v="184"/>
    <n v="112.75"/>
    <n v="71.25"/>
    <n v="33.599999999998545"/>
  </r>
  <r>
    <x v="192"/>
    <x v="1"/>
    <n v="25074.3"/>
    <n v="25199.25"/>
    <n v="25024.3"/>
    <n v="25181.8"/>
    <n v="10.248749999999999"/>
    <n v="174.95000000000073"/>
    <n v="124.95000000000073"/>
    <n v="50"/>
    <n v="107.5"/>
  </r>
  <r>
    <x v="193"/>
    <x v="2"/>
    <n v="25167.65"/>
    <n v="25330.75"/>
    <n v="25156.85"/>
    <n v="25285.35"/>
    <n v="10.068125"/>
    <n v="173.90000000000146"/>
    <n v="163.09999999999854"/>
    <n v="10.80000000000291"/>
    <n v="117.69999999999709"/>
  </r>
  <r>
    <x v="194"/>
    <x v="3"/>
    <n v="25177.3"/>
    <n v="25267.3"/>
    <n v="25152.3"/>
    <n v="25227.35"/>
    <n v="10.536875"/>
    <n v="115"/>
    <n v="90"/>
    <n v="25"/>
    <n v="50.049999999999272"/>
  </r>
  <r>
    <x v="195"/>
    <x v="4"/>
    <n v="25277.55"/>
    <n v="25310.35"/>
    <n v="25060.55"/>
    <n v="25145.5"/>
    <n v="10.961874999999999"/>
    <n v="249.79999999999927"/>
    <n v="32.799999999999272"/>
    <n v="217"/>
    <n v="132.04999999999927"/>
  </r>
  <r>
    <x v="196"/>
    <x v="0"/>
    <n v="25181.95"/>
    <n v="25365.15"/>
    <n v="25159.35"/>
    <n v="25323.55"/>
    <n v="10.818125"/>
    <n v="205.80000000000291"/>
    <n v="183.20000000000073"/>
    <n v="22.600000000002183"/>
    <n v="141.59999999999854"/>
  </r>
  <r>
    <x v="197"/>
    <x v="1"/>
    <n v="25394.9"/>
    <n v="25625.4"/>
    <n v="25376.85"/>
    <n v="25585.3"/>
    <n v="10.709999999999999"/>
    <n v="248.55000000000291"/>
    <n v="230.5"/>
    <n v="18.05000000000291"/>
    <n v="190.39999999999782"/>
  </r>
  <r>
    <x v="198"/>
    <x v="2"/>
    <n v="25546.85"/>
    <n v="25781.5"/>
    <n v="25508.6"/>
    <n v="25709.85"/>
    <n v="11.020000000000001"/>
    <n v="272.90000000000146"/>
    <n v="234.65000000000146"/>
    <n v="38.25"/>
    <n v="163"/>
  </r>
  <r>
    <x v="199"/>
    <x v="3"/>
    <n v="25824.6"/>
    <n v="25926.2"/>
    <n v="25788.5"/>
    <n v="25843.15"/>
    <n v="11.3825"/>
    <n v="137.70000000000073"/>
    <n v="101.60000000000218"/>
    <n v="36.099999999998545"/>
    <n v="18.55000000000291"/>
  </r>
  <r>
    <x v="200"/>
    <x v="4"/>
    <n v="25901.200000000001"/>
    <n v="25934.35"/>
    <n v="25825.8"/>
    <n v="25868.6"/>
    <n v="11.237500000000001"/>
    <n v="108.54999999999927"/>
    <n v="33.149999999997817"/>
    <n v="75.400000000001455"/>
    <n v="32.600000000002183"/>
  </r>
  <r>
    <x v="201"/>
    <x v="1"/>
    <n v="26057.200000000001"/>
    <n v="26104.2"/>
    <n v="25862.45"/>
    <n v="25891.4"/>
    <n v="11.453749999999999"/>
    <n v="241.75"/>
    <n v="47"/>
    <n v="194.75"/>
    <n v="165.79999999999927"/>
  </r>
  <r>
    <x v="202"/>
    <x v="2"/>
    <n v="25935.1"/>
    <n v="25944.15"/>
    <n v="25718.2"/>
    <n v="25795.15"/>
    <n v="11.675000000000001"/>
    <n v="225.95000000000073"/>
    <n v="9.0500000000029104"/>
    <n v="216.89999999999782"/>
    <n v="139.94999999999709"/>
  </r>
  <r>
    <x v="203"/>
    <x v="3"/>
    <n v="25843.200000000001"/>
    <n v="26005.95"/>
    <n v="25827"/>
    <n v="25966.05"/>
    <n v="11.86375"/>
    <n v="178.95000000000073"/>
    <n v="162.75"/>
    <n v="16.200000000000728"/>
    <n v="122.84999999999854"/>
  </r>
  <r>
    <x v="204"/>
    <x v="4"/>
    <n v="25939.95"/>
    <n v="26041.7"/>
    <n v="25810.05"/>
    <n v="25936.2"/>
    <n v="11.786874999999998"/>
    <n v="231.65000000000146"/>
    <n v="101.75"/>
    <n v="129.90000000000146"/>
    <n v="3.75"/>
  </r>
  <r>
    <x v="205"/>
    <x v="0"/>
    <n v="25982"/>
    <n v="26097.85"/>
    <n v="25960.3"/>
    <n v="26053.9"/>
    <n v="11.813124999999999"/>
    <n v="137.54999999999927"/>
    <n v="115.84999999999854"/>
    <n v="21.700000000000728"/>
    <n v="71.900000000001455"/>
  </r>
  <r>
    <x v="206"/>
    <x v="1"/>
    <n v="25984.400000000001"/>
    <n v="26032.05"/>
    <n v="25845.25"/>
    <n v="25877.85"/>
    <n v="12.005000000000001"/>
    <n v="186.79999999999927"/>
    <n v="47.649999999997817"/>
    <n v="139.15000000000146"/>
    <n v="106.55000000000291"/>
  </r>
  <r>
    <x v="207"/>
    <x v="2"/>
    <n v="25863.8"/>
    <n v="25953.75"/>
    <n v="25711.200000000001"/>
    <n v="25722.1"/>
    <n v="12.06875"/>
    <n v="242.54999999999927"/>
    <n v="89.950000000000728"/>
    <n v="152.59999999999854"/>
    <n v="141.70000000000073"/>
  </r>
  <r>
    <x v="208"/>
    <x v="3"/>
    <n v="25696.85"/>
    <n v="25803.1"/>
    <n v="25645.5"/>
    <n v="25763.35"/>
    <n v="12.387500000000001"/>
    <n v="157.59999999999854"/>
    <n v="106.25"/>
    <n v="51.349999999998545"/>
    <n v="66.5"/>
  </r>
  <r>
    <x v="209"/>
    <x v="4"/>
    <n v="25744.75"/>
    <n v="25787.4"/>
    <n v="25578.400000000001"/>
    <n v="25597.65"/>
    <n v="12.307499999999999"/>
    <n v="209"/>
    <n v="42.650000000001455"/>
    <n v="166.34999999999854"/>
    <n v="147.09999999999854"/>
  </r>
  <r>
    <x v="210"/>
    <x v="1"/>
    <n v="25593.35"/>
    <n v="25679.15"/>
    <n v="25491.55"/>
    <n v="25509.7"/>
    <n v="12.49625"/>
    <n v="187.60000000000218"/>
    <n v="85.80000000000291"/>
    <n v="101.79999999999927"/>
    <n v="83.649999999997817"/>
  </r>
  <r>
    <x v="211"/>
    <x v="2"/>
    <n v="25433.8"/>
    <n v="25551.25"/>
    <n v="25318.45"/>
    <n v="25492.3"/>
    <n v="12.39875"/>
    <n v="232.79999999999927"/>
    <n v="117.45000000000073"/>
    <n v="115.34999999999854"/>
    <n v="58.5"/>
  </r>
  <r>
    <x v="212"/>
    <x v="3"/>
    <n v="25503.5"/>
    <n v="25653.45"/>
    <n v="25503.5"/>
    <n v="25574.35"/>
    <n v="12.297499999999999"/>
    <n v="149.95000000000073"/>
    <n v="149.95000000000073"/>
    <n v="0"/>
    <n v="70.849999999998545"/>
  </r>
  <r>
    <x v="213"/>
    <x v="4"/>
    <n v="25617"/>
    <n v="25715.8"/>
    <n v="25449.25"/>
    <n v="25694.95"/>
    <n v="12.446875"/>
    <n v="266.54999999999927"/>
    <n v="98.799999999999272"/>
    <n v="167.75"/>
    <n v="77.950000000000728"/>
  </r>
  <r>
    <x v="214"/>
    <x v="0"/>
    <n v="25834.3"/>
    <n v="25934.55"/>
    <n v="25781.15"/>
    <n v="25875.8"/>
    <n v="12.188750000000001"/>
    <n v="153.39999999999782"/>
    <n v="100.25"/>
    <n v="53.149999999997817"/>
    <n v="41.5"/>
  </r>
  <r>
    <x v="215"/>
    <x v="1"/>
    <n v="25906.1"/>
    <n v="26010.7"/>
    <n v="25808.400000000001"/>
    <n v="25879.15"/>
    <n v="11.943124999999998"/>
    <n v="202.29999999999927"/>
    <n v="104.60000000000218"/>
    <n v="97.69999999999709"/>
    <n v="26.94999999999709"/>
  </r>
  <r>
    <x v="216"/>
    <x v="2"/>
    <n v="25767.9"/>
    <n v="25940.2"/>
    <n v="25740.799999999999"/>
    <n v="25910.05"/>
    <n v="12.0875"/>
    <n v="199.40000000000146"/>
    <n v="172.29999999999927"/>
    <n v="27.100000000002183"/>
    <n v="142.14999999999782"/>
  </r>
  <r>
    <x v="217"/>
    <x v="3"/>
    <n v="25948.2"/>
    <n v="26024.2"/>
    <n v="25906.35"/>
    <n v="26013.45"/>
    <n v="11.725624999999999"/>
    <n v="117.85000000000218"/>
    <n v="76"/>
    <n v="41.850000000002183"/>
    <n v="65.25"/>
  </r>
  <r>
    <x v="218"/>
    <x v="4"/>
    <n v="26021.8"/>
    <n v="26029.85"/>
    <n v="25876.5"/>
    <n v="25910.05"/>
    <n v="11.779375"/>
    <n v="153.34999999999854"/>
    <n v="8.0499999999992724"/>
    <n v="145.29999999999927"/>
    <n v="111.75"/>
  </r>
  <r>
    <x v="219"/>
    <x v="0"/>
    <n v="25918.1"/>
    <n v="26074.65"/>
    <n v="25856.2"/>
    <n v="26052.65"/>
    <n v="11.80125"/>
    <n v="218.45000000000073"/>
    <n v="156.55000000000291"/>
    <n v="61.899999999997817"/>
    <n v="134.55000000000291"/>
  </r>
  <r>
    <x v="220"/>
    <x v="1"/>
    <n v="26132.1"/>
    <n v="26246.65"/>
    <n v="26063.200000000001"/>
    <n v="26192.15"/>
    <n v="11.88625"/>
    <n v="183.45000000000073"/>
    <n v="114.55000000000291"/>
    <n v="68.899999999997817"/>
    <n v="60.05000000000291"/>
  </r>
  <r>
    <x v="221"/>
    <x v="2"/>
    <n v="26109.55"/>
    <n v="26179.200000000001"/>
    <n v="26052.2"/>
    <n v="26068.15"/>
    <n v="12.9375"/>
    <n v="127"/>
    <n v="69.650000000001455"/>
    <n v="57.349999999998545"/>
    <n v="41.399999999997817"/>
  </r>
  <r>
    <x v="222"/>
    <x v="3"/>
    <n v="26122.799999999999"/>
    <n v="26142.799999999999"/>
    <n v="25912.15"/>
    <n v="25959.5"/>
    <n v="13.109375000000002"/>
    <n v="230.64999999999782"/>
    <n v="20"/>
    <n v="210.64999999999782"/>
    <n v="163.29999999999927"/>
  </r>
  <r>
    <x v="223"/>
    <x v="4"/>
    <n v="25998.5"/>
    <n v="26032.6"/>
    <n v="25857.5"/>
    <n v="25884.799999999999"/>
    <n v="12.391250000000001"/>
    <n v="175.09999999999854"/>
    <n v="34.099999999998545"/>
    <n v="141"/>
    <n v="113.70000000000073"/>
  </r>
  <r>
    <x v="224"/>
    <x v="0"/>
    <n v="25842.95"/>
    <n v="26215.15"/>
    <n v="25842.95"/>
    <n v="26205.3"/>
    <n v="12.092499999999999"/>
    <n v="372.20000000000073"/>
    <n v="372.20000000000073"/>
    <n v="0"/>
    <n v="362.34999999999854"/>
  </r>
  <r>
    <x v="225"/>
    <x v="1"/>
    <n v="26261.25"/>
    <n v="26310.45"/>
    <n v="26141.9"/>
    <n v="26215.55"/>
    <n v="11.876875"/>
    <n v="168.54999999999927"/>
    <n v="49.200000000000728"/>
    <n v="119.34999999999854"/>
    <n v="45.700000000000728"/>
  </r>
  <r>
    <x v="226"/>
    <x v="2"/>
    <n v="26237.45"/>
    <n v="26280.75"/>
    <n v="26172.400000000001"/>
    <n v="26202.95"/>
    <n v="11.501875"/>
    <n v="108.34999999999854"/>
    <n v="43.299999999999272"/>
    <n v="65.049999999999272"/>
    <n v="34.5"/>
  </r>
  <r>
    <x v="227"/>
    <x v="3"/>
    <n v="26325.8"/>
    <n v="26325.8"/>
    <n v="26124.2"/>
    <n v="26175.75"/>
    <n v="11.539375"/>
    <n v="201.59999999999854"/>
    <n v="0"/>
    <n v="201.59999999999854"/>
    <n v="150.04999999999927"/>
  </r>
  <r>
    <x v="228"/>
    <x v="4"/>
    <n v="26087.95"/>
    <n v="26154.6"/>
    <n v="25997.85"/>
    <n v="26032.2"/>
    <n v="11.456250000000001"/>
    <n v="156.75"/>
    <n v="66.649999999997817"/>
    <n v="90.100000000002183"/>
    <n v="55.75"/>
  </r>
  <r>
    <x v="229"/>
    <x v="0"/>
    <n v="26004.9"/>
    <n v="26066.45"/>
    <n v="25891"/>
    <n v="25986"/>
    <n v="11.18125"/>
    <n v="175.45000000000073"/>
    <n v="61.549999999999272"/>
    <n v="113.90000000000146"/>
    <n v="18.900000000001455"/>
  </r>
  <r>
    <x v="230"/>
    <x v="1"/>
    <n v="25981.85"/>
    <n v="26098.25"/>
    <n v="25938.95"/>
    <n v="26033.75"/>
    <n v="10.970625"/>
    <n v="159.29999999999927"/>
    <n v="116.40000000000146"/>
    <n v="42.899999999997817"/>
    <n v="51.900000000001455"/>
  </r>
  <r>
    <x v="231"/>
    <x v="2"/>
    <n v="25999.8"/>
    <n v="26202.6"/>
    <n v="25985.35"/>
    <n v="26186.45"/>
    <n v="10.540625"/>
    <n v="217.25"/>
    <n v="202.79999999999927"/>
    <n v="14.450000000000728"/>
    <n v="186.65000000000146"/>
  </r>
  <r>
    <x v="232"/>
    <x v="3"/>
    <n v="26159.8"/>
    <n v="26178.7"/>
    <n v="25892.25"/>
    <n v="25960.55"/>
    <n v="10.797499999999999"/>
    <n v="286.45000000000073"/>
    <n v="18.900000000001455"/>
    <n v="267.54999999999927"/>
    <n v="199.25"/>
  </r>
  <r>
    <x v="233"/>
    <x v="4"/>
    <n v="25867.1"/>
    <n v="25923.65"/>
    <n v="25728"/>
    <n v="25839.65"/>
    <n v="11.103124999999999"/>
    <n v="195.65000000000146"/>
    <n v="56.55000000000291"/>
    <n v="139.09999999999854"/>
    <n v="27.44999999999709"/>
  </r>
  <r>
    <x v="234"/>
    <x v="0"/>
    <n v="25864.05"/>
    <n v="25947.65"/>
    <n v="25734.55"/>
    <n v="25758"/>
    <n v="10.943750000000001"/>
    <n v="213.10000000000218"/>
    <n v="83.600000000002183"/>
    <n v="129.5"/>
    <n v="106.04999999999927"/>
  </r>
  <r>
    <x v="235"/>
    <x v="1"/>
    <n v="25771.4"/>
    <n v="25922.799999999999"/>
    <n v="25693.25"/>
    <n v="25898.55"/>
    <n v="10.705625"/>
    <n v="229.54999999999927"/>
    <n v="151.39999999999782"/>
    <n v="78.150000000001455"/>
    <n v="127.14999999999782"/>
  </r>
  <r>
    <x v="236"/>
    <x v="2"/>
    <n v="25971.200000000001"/>
    <n v="26057.599999999999"/>
    <n v="25938.45"/>
    <n v="26046.95"/>
    <n v="10.218125000000001"/>
    <n v="119.14999999999782"/>
    <n v="86.399999999997817"/>
    <n v="32.75"/>
    <n v="75.75"/>
  </r>
  <r>
    <x v="237"/>
    <x v="3"/>
    <n v="25930.05"/>
    <n v="26047.15"/>
    <n v="25904.75"/>
    <n v="26027.3"/>
    <n v="10.311875000000001"/>
    <n v="142.40000000000146"/>
    <n v="117.10000000000218"/>
    <n v="25.299999999999272"/>
    <n v="97.25"/>
  </r>
  <r>
    <x v="238"/>
    <x v="4"/>
    <n v="25951.5"/>
    <n v="25980.75"/>
    <n v="25834.35"/>
    <n v="25860.1"/>
    <n v="10.100000000000001"/>
    <n v="146.40000000000146"/>
    <n v="29.25"/>
    <n v="117.15000000000146"/>
    <n v="91.400000000001455"/>
  </r>
  <r>
    <x v="239"/>
    <x v="0"/>
    <n v="25902.400000000001"/>
    <n v="25929.15"/>
    <n v="25770.35"/>
    <n v="25818.55"/>
    <n v="9.890625"/>
    <n v="158.80000000000291"/>
    <n v="26.75"/>
    <n v="132.05000000000291"/>
    <n v="83.850000000002183"/>
  </r>
  <r>
    <x v="240"/>
    <x v="1"/>
    <n v="25764.7"/>
    <n v="25902.35"/>
    <n v="25726.3"/>
    <n v="25815.55"/>
    <n v="9.7768750000000004"/>
    <n v="176.04999999999927"/>
    <n v="137.64999999999782"/>
    <n v="38.400000000001455"/>
    <n v="50.849999999998545"/>
  </r>
  <r>
    <x v="241"/>
    <x v="2"/>
    <n v="25911.5"/>
    <n v="25993.35"/>
    <n v="25880.45"/>
    <n v="25966.400000000001"/>
    <n v="9.7424999999999997"/>
    <n v="112.89999999999782"/>
    <n v="81.849999999998545"/>
    <n v="31.049999999999272"/>
    <n v="54.900000000001455"/>
  </r>
  <r>
    <x v="242"/>
    <x v="3"/>
    <n v="26055.85"/>
    <n v="26180.7"/>
    <n v="26047.8"/>
    <n v="26172.400000000001"/>
    <n v="9.4906250000000014"/>
    <n v="132.90000000000146"/>
    <n v="124.85000000000218"/>
    <n v="8.0499999999992724"/>
    <n v="116.55000000000291"/>
  </r>
  <r>
    <x v="243"/>
    <x v="4"/>
    <n v="26205.200000000001"/>
    <n v="26233.55"/>
    <n v="26119.05"/>
    <n v="26177.15"/>
    <n v="9.5406250000000004"/>
    <n v="114.5"/>
    <n v="28.349999999998545"/>
    <n v="86.150000000001455"/>
    <n v="28.049999999999272"/>
  </r>
  <r>
    <x v="244"/>
    <x v="0"/>
    <n v="26170.65"/>
    <n v="26236.400000000001"/>
    <n v="26123"/>
    <n v="26142.1"/>
    <n v="9.2824999999999989"/>
    <n v="113.40000000000146"/>
    <n v="65.75"/>
    <n v="47.650000000001455"/>
    <n v="28.55000000000291"/>
  </r>
  <r>
    <x v="245"/>
    <x v="2"/>
    <n v="26121.25"/>
    <n v="26144.2"/>
    <n v="26008.6"/>
    <n v="26042.3"/>
    <n v="9.1887500000000006"/>
    <n v="135.60000000000218"/>
    <n v="22.950000000000728"/>
    <n v="112.65000000000146"/>
    <n v="78.950000000000728"/>
  </r>
  <r>
    <x v="246"/>
    <x v="3"/>
    <n v="26063.35"/>
    <n v="26106.799999999999"/>
    <n v="25920.3"/>
    <n v="25942.1"/>
    <n v="9.421875"/>
    <n v="186.5"/>
    <n v="43.450000000000728"/>
    <n v="143.04999999999927"/>
    <n v="121.25"/>
  </r>
  <r>
    <x v="247"/>
    <x v="4"/>
    <n v="25940.9"/>
    <n v="25976.75"/>
    <n v="25878"/>
    <n v="25938.85"/>
    <n v="9.7437500000000004"/>
    <n v="98.75"/>
    <n v="35.849999999998545"/>
    <n v="62.900000000001455"/>
    <n v="2.0500000000029104"/>
  </r>
  <r>
    <x v="248"/>
    <x v="0"/>
    <n v="25971.05"/>
    <n v="26187.95"/>
    <n v="25969"/>
    <n v="26129.599999999999"/>
    <n v="9.5500000000000007"/>
    <n v="218.95000000000073"/>
    <n v="216.90000000000146"/>
    <n v="2.0499999999992724"/>
    <n v="158.549999999999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3B0BE-B3D6-49C8-8F4D-75CB7065B99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6" firstHeaderRow="1" firstDataRow="1" firstDataCol="1"/>
  <pivotFields count="14">
    <pivotField axis="axisRow" numFmtId="15" showAll="0">
      <items count="251">
        <item x="0"/>
        <item x="100"/>
        <item x="2"/>
        <item x="3"/>
        <item x="4"/>
        <item x="5"/>
        <item x="110"/>
        <item x="7"/>
        <item x="8"/>
        <item x="9"/>
        <item x="10"/>
        <item x="115"/>
        <item x="12"/>
        <item x="13"/>
        <item x="14"/>
        <item x="15"/>
        <item x="140"/>
        <item x="17"/>
        <item x="18"/>
        <item x="19"/>
        <item x="20"/>
        <item x="159"/>
        <item x="22"/>
        <item x="23"/>
        <item x="24"/>
        <item x="25"/>
        <item x="26"/>
        <item x="90"/>
        <item x="28"/>
        <item x="29"/>
        <item x="30"/>
        <item x="31"/>
        <item x="105"/>
        <item x="33"/>
        <item x="34"/>
        <item x="35"/>
        <item x="36"/>
        <item x="120"/>
        <item x="38"/>
        <item x="39"/>
        <item x="40"/>
        <item x="60"/>
        <item x="42"/>
        <item x="43"/>
        <item x="44"/>
        <item x="45"/>
        <item x="76"/>
        <item x="47"/>
        <item x="48"/>
        <item x="49"/>
        <item x="50"/>
        <item x="64"/>
        <item x="52"/>
        <item x="53"/>
        <item x="54"/>
        <item x="51"/>
        <item x="56"/>
        <item x="57"/>
        <item x="58"/>
        <item x="59"/>
        <item x="55"/>
        <item x="61"/>
        <item x="62"/>
        <item x="63"/>
        <item x="72"/>
        <item x="65"/>
        <item x="66"/>
        <item x="67"/>
        <item x="68"/>
        <item x="69"/>
        <item x="70"/>
        <item x="71"/>
        <item x="130"/>
        <item x="73"/>
        <item x="74"/>
        <item x="75"/>
        <item x="135"/>
        <item x="77"/>
        <item x="78"/>
        <item x="79"/>
        <item x="80"/>
        <item x="81"/>
        <item x="82"/>
        <item x="83"/>
        <item x="84"/>
        <item x="163"/>
        <item x="86"/>
        <item x="87"/>
        <item x="88"/>
        <item x="89"/>
        <item x="145"/>
        <item x="91"/>
        <item x="92"/>
        <item x="93"/>
        <item x="94"/>
        <item x="155"/>
        <item x="96"/>
        <item x="97"/>
        <item x="98"/>
        <item x="99"/>
        <item x="150"/>
        <item x="101"/>
        <item x="102"/>
        <item x="103"/>
        <item x="104"/>
        <item x="125"/>
        <item x="106"/>
        <item x="107"/>
        <item x="108"/>
        <item x="109"/>
        <item x="85"/>
        <item x="111"/>
        <item x="112"/>
        <item x="113"/>
        <item x="114"/>
        <item x="95"/>
        <item x="116"/>
        <item x="117"/>
        <item x="118"/>
        <item x="119"/>
        <item x="46"/>
        <item x="121"/>
        <item x="122"/>
        <item x="123"/>
        <item x="124"/>
        <item x="41"/>
        <item x="126"/>
        <item x="127"/>
        <item x="128"/>
        <item x="129"/>
        <item x="21"/>
        <item x="131"/>
        <item x="132"/>
        <item x="133"/>
        <item x="134"/>
        <item x="6"/>
        <item x="136"/>
        <item x="137"/>
        <item x="138"/>
        <item x="139"/>
        <item x="1"/>
        <item x="141"/>
        <item x="142"/>
        <item x="143"/>
        <item x="144"/>
        <item x="16"/>
        <item x="146"/>
        <item x="147"/>
        <item x="148"/>
        <item x="149"/>
        <item x="27"/>
        <item x="151"/>
        <item x="152"/>
        <item x="153"/>
        <item x="154"/>
        <item x="32"/>
        <item x="156"/>
        <item x="157"/>
        <item x="158"/>
        <item x="11"/>
        <item x="160"/>
        <item x="161"/>
        <item x="162"/>
        <item x="37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13"/>
    <field x="12"/>
    <field x="11"/>
    <field x="0"/>
  </rowFields>
  <rowItems count="3"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10225-F760-4BF6-B15F-51C8E64C413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Month">
  <location ref="A20:C33" firstHeaderRow="0" firstDataRow="1" firstDataCol="1"/>
  <pivotFields count="13">
    <pivotField numFmtId="15" showAll="0">
      <items count="250">
        <item x="0"/>
        <item x="100"/>
        <item x="2"/>
        <item x="3"/>
        <item x="4"/>
        <item x="5"/>
        <item x="110"/>
        <item x="7"/>
        <item x="8"/>
        <item x="9"/>
        <item x="10"/>
        <item x="115"/>
        <item x="12"/>
        <item x="13"/>
        <item x="14"/>
        <item x="15"/>
        <item x="140"/>
        <item x="17"/>
        <item x="18"/>
        <item x="19"/>
        <item x="20"/>
        <item x="159"/>
        <item x="22"/>
        <item x="23"/>
        <item x="24"/>
        <item x="25"/>
        <item x="26"/>
        <item x="90"/>
        <item x="28"/>
        <item x="29"/>
        <item x="30"/>
        <item x="31"/>
        <item x="105"/>
        <item x="33"/>
        <item x="34"/>
        <item x="35"/>
        <item x="36"/>
        <item x="120"/>
        <item x="38"/>
        <item x="39"/>
        <item x="40"/>
        <item x="60"/>
        <item x="42"/>
        <item x="43"/>
        <item x="44"/>
        <item x="45"/>
        <item x="76"/>
        <item x="47"/>
        <item x="48"/>
        <item x="49"/>
        <item x="50"/>
        <item x="64"/>
        <item x="52"/>
        <item x="53"/>
        <item x="54"/>
        <item x="51"/>
        <item x="56"/>
        <item x="57"/>
        <item x="58"/>
        <item x="59"/>
        <item x="55"/>
        <item x="61"/>
        <item x="62"/>
        <item x="63"/>
        <item x="72"/>
        <item x="65"/>
        <item x="66"/>
        <item x="67"/>
        <item x="68"/>
        <item x="69"/>
        <item x="70"/>
        <item x="71"/>
        <item x="130"/>
        <item x="73"/>
        <item x="74"/>
        <item x="75"/>
        <item x="135"/>
        <item x="77"/>
        <item x="78"/>
        <item x="79"/>
        <item x="80"/>
        <item x="81"/>
        <item x="82"/>
        <item x="83"/>
        <item x="84"/>
        <item x="163"/>
        <item x="86"/>
        <item x="87"/>
        <item x="88"/>
        <item x="89"/>
        <item x="145"/>
        <item x="91"/>
        <item x="92"/>
        <item x="93"/>
        <item x="94"/>
        <item x="155"/>
        <item x="96"/>
        <item x="97"/>
        <item x="98"/>
        <item x="99"/>
        <item x="150"/>
        <item x="101"/>
        <item x="102"/>
        <item x="103"/>
        <item x="104"/>
        <item x="125"/>
        <item x="106"/>
        <item x="107"/>
        <item x="108"/>
        <item x="109"/>
        <item x="85"/>
        <item x="111"/>
        <item x="112"/>
        <item x="113"/>
        <item x="114"/>
        <item x="95"/>
        <item x="116"/>
        <item x="117"/>
        <item x="118"/>
        <item x="119"/>
        <item x="46"/>
        <item x="121"/>
        <item x="122"/>
        <item x="123"/>
        <item x="124"/>
        <item x="41"/>
        <item x="126"/>
        <item x="127"/>
        <item x="128"/>
        <item x="129"/>
        <item x="21"/>
        <item x="131"/>
        <item x="132"/>
        <item x="133"/>
        <item x="134"/>
        <item x="6"/>
        <item x="136"/>
        <item x="137"/>
        <item x="138"/>
        <item x="139"/>
        <item x="1"/>
        <item x="141"/>
        <item x="142"/>
        <item x="143"/>
        <item x="144"/>
        <item x="16"/>
        <item x="146"/>
        <item x="147"/>
        <item x="148"/>
        <item x="149"/>
        <item x="27"/>
        <item x="151"/>
        <item x="152"/>
        <item x="153"/>
        <item x="154"/>
        <item x="32"/>
        <item x="156"/>
        <item x="157"/>
        <item x="158"/>
        <item x="11"/>
        <item x="160"/>
        <item x="161"/>
        <item x="162"/>
        <item x="37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dataField="1" showAll="0"/>
    <pivotField showAll="0"/>
    <pivotField showAll="0"/>
    <pivotField showAll="0"/>
    <pivotField showAll="0" defaultSubtotal="0"/>
    <pivotField axis="axisRow" showAll="0" sortType="de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2"/>
  </rowFields>
  <rowItems count="13">
    <i>
      <x v="4"/>
    </i>
    <i>
      <x v="5"/>
    </i>
    <i>
      <x v="1"/>
    </i>
    <i>
      <x v="3"/>
    </i>
    <i>
      <x v="2"/>
    </i>
    <i>
      <x v="6"/>
    </i>
    <i>
      <x v="10"/>
    </i>
    <i>
      <x v="11"/>
    </i>
    <i>
      <x v="8"/>
    </i>
    <i>
      <x v="7"/>
    </i>
    <i>
      <x v="12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_VIX" fld="6" subtotal="average" baseField="12" baseItem="1" numFmtId="2"/>
    <dataField name="Average_(H-L)" fld="7" subtotal="average" baseField="12" baseItem="1"/>
  </dataFields>
  <formats count="1">
    <format dxfId="0">
      <pivotArea collapsedLevelsAreSubtotals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13AF4-894F-4BCD-8FF2-C223A4F5850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Month">
  <location ref="A3:E16" firstHeaderRow="0" firstDataRow="1" firstDataCol="1" rowPageCount="1" colPageCount="1"/>
  <pivotFields count="13">
    <pivotField axis="axisRow" numFmtId="15" showAll="0">
      <items count="250">
        <item x="0"/>
        <item x="100"/>
        <item x="2"/>
        <item x="3"/>
        <item x="4"/>
        <item x="5"/>
        <item x="110"/>
        <item x="7"/>
        <item x="8"/>
        <item x="9"/>
        <item x="10"/>
        <item x="115"/>
        <item x="12"/>
        <item x="13"/>
        <item x="14"/>
        <item x="15"/>
        <item x="140"/>
        <item x="17"/>
        <item x="18"/>
        <item x="19"/>
        <item x="20"/>
        <item x="159"/>
        <item x="22"/>
        <item x="23"/>
        <item x="24"/>
        <item x="25"/>
        <item x="26"/>
        <item x="90"/>
        <item x="28"/>
        <item x="29"/>
        <item x="30"/>
        <item x="31"/>
        <item x="105"/>
        <item x="33"/>
        <item x="34"/>
        <item x="35"/>
        <item x="36"/>
        <item x="120"/>
        <item x="38"/>
        <item x="39"/>
        <item x="40"/>
        <item x="60"/>
        <item x="42"/>
        <item x="43"/>
        <item x="44"/>
        <item x="45"/>
        <item x="76"/>
        <item x="47"/>
        <item x="48"/>
        <item x="49"/>
        <item x="50"/>
        <item x="64"/>
        <item x="52"/>
        <item x="53"/>
        <item x="54"/>
        <item x="51"/>
        <item x="56"/>
        <item x="57"/>
        <item x="58"/>
        <item x="59"/>
        <item x="55"/>
        <item x="61"/>
        <item x="62"/>
        <item x="63"/>
        <item x="72"/>
        <item x="65"/>
        <item x="66"/>
        <item x="67"/>
        <item x="68"/>
        <item x="69"/>
        <item x="70"/>
        <item x="71"/>
        <item x="130"/>
        <item x="73"/>
        <item x="74"/>
        <item x="75"/>
        <item x="135"/>
        <item x="77"/>
        <item x="78"/>
        <item x="79"/>
        <item x="80"/>
        <item x="81"/>
        <item x="82"/>
        <item x="83"/>
        <item x="84"/>
        <item x="163"/>
        <item x="86"/>
        <item x="87"/>
        <item x="88"/>
        <item x="89"/>
        <item x="145"/>
        <item x="91"/>
        <item x="92"/>
        <item x="93"/>
        <item x="94"/>
        <item x="155"/>
        <item x="96"/>
        <item x="97"/>
        <item x="98"/>
        <item x="99"/>
        <item x="150"/>
        <item x="101"/>
        <item x="102"/>
        <item x="103"/>
        <item x="104"/>
        <item x="125"/>
        <item x="106"/>
        <item x="107"/>
        <item x="108"/>
        <item x="109"/>
        <item x="85"/>
        <item x="111"/>
        <item x="112"/>
        <item x="113"/>
        <item x="114"/>
        <item x="95"/>
        <item x="116"/>
        <item x="117"/>
        <item x="118"/>
        <item x="119"/>
        <item x="46"/>
        <item x="121"/>
        <item x="122"/>
        <item x="123"/>
        <item x="124"/>
        <item x="41"/>
        <item x="126"/>
        <item x="127"/>
        <item x="128"/>
        <item x="129"/>
        <item x="21"/>
        <item x="131"/>
        <item x="132"/>
        <item x="133"/>
        <item x="134"/>
        <item x="6"/>
        <item x="136"/>
        <item x="137"/>
        <item x="138"/>
        <item x="139"/>
        <item x="1"/>
        <item x="141"/>
        <item x="142"/>
        <item x="143"/>
        <item x="144"/>
        <item x="16"/>
        <item x="146"/>
        <item x="147"/>
        <item x="148"/>
        <item x="149"/>
        <item x="27"/>
        <item x="151"/>
        <item x="152"/>
        <item x="153"/>
        <item x="154"/>
        <item x="32"/>
        <item x="156"/>
        <item x="157"/>
        <item x="158"/>
        <item x="11"/>
        <item x="160"/>
        <item x="161"/>
        <item x="162"/>
        <item x="37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name="Weekday Filter" axis="axisPage" showAll="0">
      <items count="7">
        <item x="3"/>
        <item x="4"/>
        <item x="0"/>
        <item x="1"/>
        <item x="2"/>
        <item x="5"/>
        <item t="default"/>
      </items>
    </pivotField>
    <pivotField showAll="0"/>
    <pivotField showAll="0"/>
    <pivotField showAll="0"/>
    <pivotField dataField="1" showAll="0"/>
    <pivotField dataField="1" numFmtId="2" showAll="0"/>
    <pivotField dataField="1"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2"/>
    <field x="11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Average_Close " fld="5" subtotal="average" baseField="12" baseItem="1"/>
    <dataField name="Average_Range_(H-L)" fld="7" subtotal="average" baseField="12" baseItem="1"/>
    <dataField name="Average_Direction(O-C)" fld="10" subtotal="average" baseField="12" baseItem="1"/>
    <dataField name="Average_VIX" fld="6" subtotal="average" baseField="12" baseItem="1" numFmtId="2"/>
  </dataFields>
  <formats count="25">
    <format dxfId="25">
      <pivotArea collapsedLevelsAreSubtotals="1" fieldPosition="0">
        <references count="2">
          <reference field="4294967294" count="1" selected="0">
            <x v="0"/>
          </reference>
          <reference field="12" count="1">
            <x v="1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0"/>
          </reference>
          <reference field="12" count="1">
            <x v="2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0"/>
          </reference>
          <reference field="12" count="1">
            <x v="3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0"/>
          </reference>
          <reference field="12" count="1">
            <x v="4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0"/>
          </reference>
          <reference field="12" count="1">
            <x v="5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0"/>
          </reference>
          <reference field="12" count="1">
            <x v="6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0"/>
          </reference>
          <reference field="12" count="1">
            <x v="7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12" count="1">
            <x v="8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0"/>
          </reference>
          <reference field="12" count="1">
            <x v="9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2" count="1">
            <x v="10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0"/>
          </reference>
          <reference field="12" count="1">
            <x v="11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0"/>
          </reference>
          <reference field="12" count="1">
            <x v="12"/>
          </reference>
        </references>
      </pivotArea>
    </format>
    <format dxfId="13">
      <pivotArea collapsedLevelsAreSubtotals="1" fieldPosition="0">
        <references count="2">
          <reference field="4294967294" count="2" selected="0">
            <x v="1"/>
            <x v="2"/>
          </reference>
          <reference field="12" count="1">
            <x v="1"/>
          </reference>
        </references>
      </pivotArea>
    </format>
    <format dxfId="12">
      <pivotArea collapsedLevelsAreSubtotals="1" fieldPosition="0">
        <references count="2">
          <reference field="4294967294" count="2" selected="0">
            <x v="1"/>
            <x v="2"/>
          </reference>
          <reference field="12" count="1">
            <x v="2"/>
          </reference>
        </references>
      </pivotArea>
    </format>
    <format dxfId="11">
      <pivotArea collapsedLevelsAreSubtotals="1" fieldPosition="0">
        <references count="2">
          <reference field="4294967294" count="2" selected="0">
            <x v="1"/>
            <x v="2"/>
          </reference>
          <reference field="12" count="1">
            <x v="3"/>
          </reference>
        </references>
      </pivotArea>
    </format>
    <format dxfId="10">
      <pivotArea collapsedLevelsAreSubtotals="1" fieldPosition="0">
        <references count="2">
          <reference field="4294967294" count="2" selected="0">
            <x v="1"/>
            <x v="2"/>
          </reference>
          <reference field="12" count="1">
            <x v="4"/>
          </reference>
        </references>
      </pivotArea>
    </format>
    <format dxfId="9">
      <pivotArea collapsedLevelsAreSubtotals="1" fieldPosition="0">
        <references count="2">
          <reference field="4294967294" count="2" selected="0">
            <x v="1"/>
            <x v="2"/>
          </reference>
          <reference field="12" count="1">
            <x v="5"/>
          </reference>
        </references>
      </pivotArea>
    </format>
    <format dxfId="8">
      <pivotArea collapsedLevelsAreSubtotals="1" fieldPosition="0">
        <references count="2">
          <reference field="4294967294" count="2" selected="0">
            <x v="1"/>
            <x v="2"/>
          </reference>
          <reference field="12" count="1">
            <x v="6"/>
          </reference>
        </references>
      </pivotArea>
    </format>
    <format dxfId="7">
      <pivotArea collapsedLevelsAreSubtotals="1" fieldPosition="0">
        <references count="2">
          <reference field="4294967294" count="2" selected="0">
            <x v="1"/>
            <x v="2"/>
          </reference>
          <reference field="12" count="1">
            <x v="7"/>
          </reference>
        </references>
      </pivotArea>
    </format>
    <format dxfId="6">
      <pivotArea collapsedLevelsAreSubtotals="1" fieldPosition="0">
        <references count="2">
          <reference field="4294967294" count="2" selected="0">
            <x v="1"/>
            <x v="2"/>
          </reference>
          <reference field="12" count="1">
            <x v="8"/>
          </reference>
        </references>
      </pivotArea>
    </format>
    <format dxfId="5">
      <pivotArea collapsedLevelsAreSubtotals="1" fieldPosition="0">
        <references count="2">
          <reference field="4294967294" count="2" selected="0">
            <x v="1"/>
            <x v="2"/>
          </reference>
          <reference field="12" count="1">
            <x v="9"/>
          </reference>
        </references>
      </pivotArea>
    </format>
    <format dxfId="4">
      <pivotArea collapsedLevelsAreSubtotals="1" fieldPosition="0">
        <references count="2">
          <reference field="4294967294" count="2" selected="0">
            <x v="1"/>
            <x v="2"/>
          </reference>
          <reference field="12" count="1">
            <x v="10"/>
          </reference>
        </references>
      </pivotArea>
    </format>
    <format dxfId="3">
      <pivotArea collapsedLevelsAreSubtotals="1" fieldPosition="0">
        <references count="2">
          <reference field="4294967294" count="2" selected="0">
            <x v="1"/>
            <x v="2"/>
          </reference>
          <reference field="12" count="1">
            <x v="11"/>
          </reference>
        </references>
      </pivotArea>
    </format>
    <format dxfId="2">
      <pivotArea collapsedLevelsAreSubtotals="1" fieldPosition="0">
        <references count="2">
          <reference field="4294967294" count="2" selected="0">
            <x v="1"/>
            <x v="2"/>
          </reference>
          <reference field="12" count="1">
            <x v="12"/>
          </reference>
        </references>
      </pivotArea>
    </format>
    <format dxfId="1">
      <pivotArea grandRow="1" outline="0" collapsedLevelsAreSubtotals="1" fieldPosition="0"/>
    </format>
  </formats>
  <conditionalFormats count="1">
    <conditionalFormat priority="2">
      <pivotAreas count="12">
        <pivotArea type="data" collapsedLevelsAreSubtotals="1" fieldPosition="0">
          <references count="2">
            <reference field="4294967294" count="1" selected="0">
              <x v="1"/>
            </reference>
            <reference field="12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2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2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2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2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2" count="1"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2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2" count="1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2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2" count="1"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2" count="1">
              <x v="11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2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DDBC01-DDC9-4767-A044-447CDB16EB01}" name="Table2" displayName="Table2" ref="C4:J14" totalsRowShown="0">
  <autoFilter ref="C4:J14" xr:uid="{65DDBC01-DDC9-4767-A044-447CDB16EB01}"/>
  <tableColumns count="8">
    <tableColumn id="1" xr3:uid="{56A03F5A-EFD7-4F77-B8D0-09D1A46138CD}" name="TOTAl days"/>
    <tableColumn id="2" xr3:uid="{7D8822AC-CD93-4D9A-BC9C-66A51BA9B5B1}" name="VIX"/>
    <tableColumn id="3" xr3:uid="{3DD4960A-CA24-46CE-BAD5-6030C2EB0B9E}" name="&lt;100"/>
    <tableColumn id="4" xr3:uid="{ED940B7F-FE65-4103-9EF0-9D56376E0E66}" name="100-150"/>
    <tableColumn id="5" xr3:uid="{2BC054D2-28B2-4DEC-A93D-50975AC82012}" name="150-200"/>
    <tableColumn id="6" xr3:uid="{D75AED03-17D5-4C6B-97F3-1F2521115FF2}" name="200-250"/>
    <tableColumn id="7" xr3:uid="{65BFE780-892E-414E-82CF-3E013C5AFA69}" name="250-300"/>
    <tableColumn id="8" xr3:uid="{1F3A80AE-AD54-4523-9654-54E0E88BD4B4}" name="&gt;3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776EBF-21EE-40D9-A2A1-FD9B13045D89}" name="Table3" displayName="Table3" ref="M4:R14" totalsRowShown="0">
  <autoFilter ref="M4:R14" xr:uid="{D7776EBF-21EE-40D9-A2A1-FD9B13045D89}"/>
  <tableColumns count="6">
    <tableColumn id="1" xr3:uid="{2E93510F-48A0-4885-B25A-5A04FE64F278}" name="TOTAl days"/>
    <tableColumn id="2" xr3:uid="{FFC3EE41-955E-4A46-952E-C88C7D293208}" name="VIX"/>
    <tableColumn id="3" xr3:uid="{09DDA22C-6A72-4402-8C2F-E8106071EC81}" name="75"/>
    <tableColumn id="4" xr3:uid="{01C77CF4-BDD0-4910-A4FF-054D8199C972}" name="125"/>
    <tableColumn id="5" xr3:uid="{F6683E69-4AEC-4D7C-8C08-131A640D3409}" name="175"/>
    <tableColumn id="6" xr3:uid="{39E03DF8-D1A2-446B-B8D9-F5C765E11B36}" name="&gt;17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1CD756-807C-4344-BFE6-D10570A3D672}" name="Table4" displayName="Table4" ref="U4:Z14" totalsRowShown="0">
  <autoFilter ref="U4:Z14" xr:uid="{0B1CD756-807C-4344-BFE6-D10570A3D672}"/>
  <tableColumns count="6">
    <tableColumn id="1" xr3:uid="{ED8AF28E-7232-4727-833E-17ECA4337779}" name="TOTAl days"/>
    <tableColumn id="2" xr3:uid="{5BC96865-A4B7-4137-B555-3E570B375E28}" name="VIX"/>
    <tableColumn id="3" xr3:uid="{A7C86D8C-40F4-4531-B713-2BBD7A4E0C3A}" name="75"/>
    <tableColumn id="4" xr3:uid="{411B0EAA-F241-4CF7-9E86-E65C23ABB39E}" name="125"/>
    <tableColumn id="5" xr3:uid="{EA6C86BC-3A5A-4ED1-BB8E-306CA8F4BC0F}" name="175"/>
    <tableColumn id="6" xr3:uid="{3D424FAE-C956-4858-8D5E-93A89122FFB8}" name="&gt;17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A2DACA-9849-49A3-9F97-856D29BFAB6C}" name="Table5" displayName="Table5" ref="C20:J30" totalsRowShown="0">
  <autoFilter ref="C20:J30" xr:uid="{78A2DACA-9849-49A3-9F97-856D29BFAB6C}"/>
  <tableColumns count="8">
    <tableColumn id="1" xr3:uid="{552B9CFF-C40B-4F79-AFC5-F3FDA0901850}" name="TOTAl days"/>
    <tableColumn id="2" xr3:uid="{FADCBB32-3F5C-4CC4-8AD5-40432197F98E}" name="VIX"/>
    <tableColumn id="3" xr3:uid="{CD25AC9C-66C7-47A7-9AA3-8EF81304E06A}" name="&lt;100"/>
    <tableColumn id="4" xr3:uid="{5BE43193-D307-4967-945F-95848536288E}" name="100-150"/>
    <tableColumn id="5" xr3:uid="{BC79D209-ADF8-42A0-AF7F-2C79743C4188}" name="150-200"/>
    <tableColumn id="6" xr3:uid="{0141A166-750C-4DAD-BD19-5D31FF4F0E4E}" name="200-250"/>
    <tableColumn id="7" xr3:uid="{64879124-508E-48EB-91D2-526EFC0ABD3E}" name="250-300"/>
    <tableColumn id="8" xr3:uid="{F068272E-4DC5-4FB7-B8DF-2A0DC1928E34}" name="&gt;3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1B9E-C97D-4778-9F8A-76A177FA948E}">
  <dimension ref="A3:A6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</cols>
  <sheetData>
    <row r="3" spans="1:1" x14ac:dyDescent="0.25">
      <c r="A3" s="4" t="s">
        <v>31</v>
      </c>
    </row>
    <row r="4" spans="1:1" x14ac:dyDescent="0.25">
      <c r="A4" s="5" t="s">
        <v>33</v>
      </c>
    </row>
    <row r="5" spans="1:1" x14ac:dyDescent="0.25">
      <c r="A5" s="5" t="s">
        <v>34</v>
      </c>
    </row>
    <row r="6" spans="1:1" x14ac:dyDescent="0.25">
      <c r="A6" s="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95F8-E057-4335-943D-1BAFF07DA551}">
  <dimension ref="A1:N1048576"/>
  <sheetViews>
    <sheetView workbookViewId="0"/>
  </sheetViews>
  <sheetFormatPr defaultRowHeight="15" x14ac:dyDescent="0.25"/>
  <cols>
    <col min="1" max="1" width="10" bestFit="1" customWidth="1"/>
    <col min="2" max="2" width="10" customWidth="1"/>
    <col min="3" max="6" width="9" bestFit="1" customWidth="1"/>
    <col min="7" max="7" width="14.140625" bestFit="1" customWidth="1"/>
    <col min="8" max="8" width="14" bestFit="1" customWidth="1"/>
    <col min="13" max="13" width="9.85546875" bestFit="1" customWidth="1"/>
    <col min="14" max="14" width="4.85546875" bestFit="1" customWidth="1"/>
    <col min="15" max="15" width="9" bestFit="1" customWidth="1"/>
    <col min="16" max="16" width="9.85546875" bestFit="1" customWidth="1"/>
    <col min="17" max="17" width="4.85546875" bestFit="1" customWidth="1"/>
    <col min="18" max="21" width="9" bestFit="1" customWidth="1"/>
    <col min="22" max="22" width="11" bestFit="1" customWidth="1"/>
    <col min="23" max="26" width="7" bestFit="1" customWidth="1"/>
  </cols>
  <sheetData>
    <row r="1" spans="1:13" x14ac:dyDescent="0.25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>
        <f>+SUBTOTAL(2,G2:G251)</f>
        <v>249</v>
      </c>
    </row>
    <row r="2" spans="1:13" x14ac:dyDescent="0.25">
      <c r="A2" s="1">
        <v>45658</v>
      </c>
      <c r="B2" s="1" t="str">
        <f t="shared" ref="B2:B33" si="0">+TEXT(A2,"ddd")</f>
        <v>Wed</v>
      </c>
      <c r="C2">
        <v>23637.65</v>
      </c>
      <c r="D2">
        <v>23822.799999999999</v>
      </c>
      <c r="E2">
        <v>23562.799999999999</v>
      </c>
      <c r="F2">
        <v>23742.9</v>
      </c>
      <c r="G2" s="2">
        <v>14.52375</v>
      </c>
      <c r="H2">
        <f t="shared" ref="H2:H65" si="1">+D2-E2</f>
        <v>260</v>
      </c>
      <c r="I2">
        <f t="shared" ref="I2:I65" si="2">+D2-C2</f>
        <v>185.14999999999782</v>
      </c>
      <c r="J2">
        <f t="shared" ref="J2:J65" si="3">+C2-E2</f>
        <v>74.850000000002183</v>
      </c>
      <c r="K2">
        <f t="shared" ref="K2:K65" si="4">+ABS(C2-F2)</f>
        <v>105.25</v>
      </c>
    </row>
    <row r="3" spans="1:13" x14ac:dyDescent="0.25">
      <c r="A3" s="1">
        <v>45862</v>
      </c>
      <c r="B3" s="1" t="str">
        <f t="shared" si="0"/>
        <v>Thu</v>
      </c>
      <c r="C3">
        <v>25243.3</v>
      </c>
      <c r="D3">
        <v>25246.25</v>
      </c>
      <c r="E3">
        <v>25018.7</v>
      </c>
      <c r="F3">
        <v>25062.1</v>
      </c>
      <c r="G3" s="2">
        <v>10.551875000000001</v>
      </c>
      <c r="H3">
        <f t="shared" si="1"/>
        <v>227.54999999999927</v>
      </c>
      <c r="I3">
        <f t="shared" si="2"/>
        <v>2.9500000000007276</v>
      </c>
      <c r="J3">
        <f t="shared" si="3"/>
        <v>224.59999999999854</v>
      </c>
      <c r="K3">
        <f t="shared" si="4"/>
        <v>181.20000000000073</v>
      </c>
    </row>
    <row r="4" spans="1:13" x14ac:dyDescent="0.25">
      <c r="A4" s="1">
        <v>45660</v>
      </c>
      <c r="B4" s="1" t="str">
        <f t="shared" si="0"/>
        <v>Fri</v>
      </c>
      <c r="C4">
        <v>24196.400000000001</v>
      </c>
      <c r="D4">
        <v>24196.45</v>
      </c>
      <c r="E4">
        <v>23976</v>
      </c>
      <c r="F4">
        <v>24004.75</v>
      </c>
      <c r="G4" s="2">
        <v>13.62</v>
      </c>
      <c r="H4">
        <f t="shared" si="1"/>
        <v>220.45000000000073</v>
      </c>
      <c r="I4">
        <f t="shared" si="2"/>
        <v>4.9999999999272404E-2</v>
      </c>
      <c r="J4">
        <f t="shared" si="3"/>
        <v>220.40000000000146</v>
      </c>
      <c r="K4">
        <f t="shared" si="4"/>
        <v>191.65000000000146</v>
      </c>
    </row>
    <row r="5" spans="1:13" x14ac:dyDescent="0.25">
      <c r="A5" s="1">
        <v>45663</v>
      </c>
      <c r="B5" s="1" t="str">
        <f t="shared" si="0"/>
        <v>Mon</v>
      </c>
      <c r="C5">
        <v>24045.8</v>
      </c>
      <c r="D5">
        <v>24089.95</v>
      </c>
      <c r="E5">
        <v>23551.9</v>
      </c>
      <c r="F5">
        <v>23616.05</v>
      </c>
      <c r="G5" s="2">
        <v>14.6625</v>
      </c>
      <c r="H5">
        <f t="shared" si="1"/>
        <v>538.04999999999927</v>
      </c>
      <c r="I5">
        <f t="shared" si="2"/>
        <v>44.150000000001455</v>
      </c>
      <c r="J5">
        <f t="shared" si="3"/>
        <v>493.89999999999782</v>
      </c>
      <c r="K5">
        <f t="shared" si="4"/>
        <v>429.75</v>
      </c>
    </row>
    <row r="6" spans="1:13" x14ac:dyDescent="0.25">
      <c r="A6" s="1">
        <v>45664</v>
      </c>
      <c r="B6" s="1" t="str">
        <f t="shared" si="0"/>
        <v>Tue</v>
      </c>
      <c r="C6">
        <v>23679.9</v>
      </c>
      <c r="D6">
        <v>23795.200000000001</v>
      </c>
      <c r="E6">
        <v>23637.8</v>
      </c>
      <c r="F6">
        <v>23707.9</v>
      </c>
      <c r="G6" s="2">
        <v>15.076250000000002</v>
      </c>
      <c r="H6">
        <f t="shared" si="1"/>
        <v>157.40000000000146</v>
      </c>
      <c r="I6">
        <f t="shared" si="2"/>
        <v>115.29999999999927</v>
      </c>
      <c r="J6">
        <f t="shared" si="3"/>
        <v>42.100000000002183</v>
      </c>
      <c r="K6">
        <f t="shared" si="4"/>
        <v>28</v>
      </c>
    </row>
    <row r="7" spans="1:13" x14ac:dyDescent="0.25">
      <c r="A7" s="1">
        <v>45665</v>
      </c>
      <c r="B7" s="1" t="str">
        <f t="shared" si="0"/>
        <v>Wed</v>
      </c>
      <c r="C7">
        <v>23746.65</v>
      </c>
      <c r="D7">
        <v>23751.85</v>
      </c>
      <c r="E7">
        <v>23496.15</v>
      </c>
      <c r="F7">
        <v>23688.95</v>
      </c>
      <c r="G7" s="2">
        <v>14.524999999999999</v>
      </c>
      <c r="H7">
        <f t="shared" si="1"/>
        <v>255.69999999999709</v>
      </c>
      <c r="I7">
        <f t="shared" si="2"/>
        <v>5.1999999999970896</v>
      </c>
      <c r="J7">
        <f t="shared" si="3"/>
        <v>250.5</v>
      </c>
      <c r="K7">
        <f t="shared" si="4"/>
        <v>57.700000000000728</v>
      </c>
    </row>
    <row r="8" spans="1:13" x14ac:dyDescent="0.25">
      <c r="A8" s="1">
        <v>45855</v>
      </c>
      <c r="B8" s="1" t="str">
        <f t="shared" si="0"/>
        <v>Thu</v>
      </c>
      <c r="C8">
        <v>25230.75</v>
      </c>
      <c r="D8">
        <v>25238.35</v>
      </c>
      <c r="E8">
        <v>25101</v>
      </c>
      <c r="F8">
        <v>25111.45</v>
      </c>
      <c r="G8" s="2">
        <v>11.1875</v>
      </c>
      <c r="H8">
        <f t="shared" si="1"/>
        <v>137.34999999999854</v>
      </c>
      <c r="I8">
        <f t="shared" si="2"/>
        <v>7.5999999999985448</v>
      </c>
      <c r="J8">
        <f t="shared" si="3"/>
        <v>129.75</v>
      </c>
      <c r="K8">
        <f t="shared" si="4"/>
        <v>119.29999999999927</v>
      </c>
    </row>
    <row r="9" spans="1:13" x14ac:dyDescent="0.25">
      <c r="A9" s="1">
        <v>45667</v>
      </c>
      <c r="B9" s="1" t="str">
        <f t="shared" si="0"/>
        <v>Fri</v>
      </c>
      <c r="C9">
        <v>23551.9</v>
      </c>
      <c r="D9">
        <v>23596.6</v>
      </c>
      <c r="E9">
        <v>23344.35</v>
      </c>
      <c r="F9">
        <v>23431.5</v>
      </c>
      <c r="G9" s="2">
        <v>14.936249999999999</v>
      </c>
      <c r="H9">
        <f t="shared" si="1"/>
        <v>252.25</v>
      </c>
      <c r="I9">
        <f t="shared" si="2"/>
        <v>44.69999999999709</v>
      </c>
      <c r="J9">
        <f t="shared" si="3"/>
        <v>207.55000000000291</v>
      </c>
      <c r="K9">
        <f t="shared" si="4"/>
        <v>120.40000000000146</v>
      </c>
    </row>
    <row r="10" spans="1:13" x14ac:dyDescent="0.25">
      <c r="A10" s="1">
        <v>45670</v>
      </c>
      <c r="B10" s="1" t="str">
        <f t="shared" si="0"/>
        <v>Mon</v>
      </c>
      <c r="C10">
        <v>23195.4</v>
      </c>
      <c r="D10">
        <v>23340.95</v>
      </c>
      <c r="E10">
        <v>23047.25</v>
      </c>
      <c r="F10">
        <v>23085.95</v>
      </c>
      <c r="G10" s="2">
        <v>15.386875</v>
      </c>
      <c r="H10">
        <f t="shared" si="1"/>
        <v>293.70000000000073</v>
      </c>
      <c r="I10">
        <f t="shared" si="2"/>
        <v>145.54999999999927</v>
      </c>
      <c r="J10">
        <f t="shared" si="3"/>
        <v>148.15000000000146</v>
      </c>
      <c r="K10">
        <f t="shared" si="4"/>
        <v>109.45000000000073</v>
      </c>
    </row>
    <row r="11" spans="1:13" x14ac:dyDescent="0.25">
      <c r="A11" s="1">
        <v>45671</v>
      </c>
      <c r="B11" s="1" t="str">
        <f t="shared" si="0"/>
        <v>Tue</v>
      </c>
      <c r="C11">
        <v>23165.9</v>
      </c>
      <c r="D11">
        <v>23264.95</v>
      </c>
      <c r="E11">
        <v>23134.15</v>
      </c>
      <c r="F11">
        <v>23176.05</v>
      </c>
      <c r="G11" s="2">
        <v>15.645</v>
      </c>
      <c r="H11">
        <f t="shared" si="1"/>
        <v>130.79999999999927</v>
      </c>
      <c r="I11">
        <f t="shared" si="2"/>
        <v>99.049999999999272</v>
      </c>
      <c r="J11">
        <f t="shared" si="3"/>
        <v>31.75</v>
      </c>
      <c r="K11">
        <f t="shared" si="4"/>
        <v>10.149999999997817</v>
      </c>
    </row>
    <row r="12" spans="1:13" x14ac:dyDescent="0.25">
      <c r="A12" s="1">
        <v>45672</v>
      </c>
      <c r="B12" s="1" t="str">
        <f t="shared" si="0"/>
        <v>Wed</v>
      </c>
      <c r="C12">
        <v>23250.45</v>
      </c>
      <c r="D12">
        <v>23293.65</v>
      </c>
      <c r="E12">
        <v>23146.45</v>
      </c>
      <c r="F12">
        <v>23213.200000000001</v>
      </c>
      <c r="G12" s="2">
        <v>15.396875</v>
      </c>
      <c r="H12">
        <f t="shared" si="1"/>
        <v>147.20000000000073</v>
      </c>
      <c r="I12">
        <f t="shared" si="2"/>
        <v>43.200000000000728</v>
      </c>
      <c r="J12">
        <f t="shared" si="3"/>
        <v>104</v>
      </c>
      <c r="K12">
        <f t="shared" si="4"/>
        <v>37.25</v>
      </c>
    </row>
    <row r="13" spans="1:13" x14ac:dyDescent="0.25">
      <c r="A13" s="1">
        <v>45890</v>
      </c>
      <c r="B13" s="1" t="str">
        <f t="shared" si="0"/>
        <v>Thu</v>
      </c>
      <c r="C13">
        <v>25142</v>
      </c>
      <c r="D13">
        <v>25153.65</v>
      </c>
      <c r="E13">
        <v>25054.9</v>
      </c>
      <c r="F13">
        <v>25083.75</v>
      </c>
      <c r="G13" s="2">
        <v>11.28375</v>
      </c>
      <c r="H13">
        <f t="shared" si="1"/>
        <v>98.75</v>
      </c>
      <c r="I13">
        <f t="shared" si="2"/>
        <v>11.650000000001455</v>
      </c>
      <c r="J13">
        <f t="shared" si="3"/>
        <v>87.099999999998545</v>
      </c>
      <c r="K13">
        <f t="shared" si="4"/>
        <v>58.25</v>
      </c>
    </row>
    <row r="14" spans="1:13" x14ac:dyDescent="0.25">
      <c r="A14" s="1">
        <v>45674</v>
      </c>
      <c r="B14" s="1" t="str">
        <f t="shared" si="0"/>
        <v>Fri</v>
      </c>
      <c r="C14">
        <v>23277.1</v>
      </c>
      <c r="D14">
        <v>23292.1</v>
      </c>
      <c r="E14">
        <v>23100.35</v>
      </c>
      <c r="F14">
        <v>23203.200000000001</v>
      </c>
      <c r="G14" s="2">
        <v>15.411875</v>
      </c>
      <c r="H14">
        <f t="shared" si="1"/>
        <v>191.75</v>
      </c>
      <c r="I14">
        <f t="shared" si="2"/>
        <v>15</v>
      </c>
      <c r="J14">
        <f t="shared" si="3"/>
        <v>176.75</v>
      </c>
      <c r="K14">
        <f t="shared" si="4"/>
        <v>73.899999999997817</v>
      </c>
    </row>
    <row r="15" spans="1:13" x14ac:dyDescent="0.25">
      <c r="A15" s="1">
        <v>45677</v>
      </c>
      <c r="B15" s="1" t="str">
        <f t="shared" si="0"/>
        <v>Mon</v>
      </c>
      <c r="C15">
        <v>23290.400000000001</v>
      </c>
      <c r="D15">
        <v>23391.1</v>
      </c>
      <c r="E15">
        <v>23170.65</v>
      </c>
      <c r="F15">
        <v>23344.75</v>
      </c>
      <c r="G15" s="2">
        <v>16.091249999999999</v>
      </c>
      <c r="H15">
        <f t="shared" si="1"/>
        <v>220.44999999999709</v>
      </c>
      <c r="I15">
        <f t="shared" si="2"/>
        <v>100.69999999999709</v>
      </c>
      <c r="J15">
        <f t="shared" si="3"/>
        <v>119.75</v>
      </c>
      <c r="K15">
        <f t="shared" si="4"/>
        <v>54.349999999998545</v>
      </c>
    </row>
    <row r="16" spans="1:13" x14ac:dyDescent="0.25">
      <c r="A16" s="1">
        <v>45678</v>
      </c>
      <c r="B16" s="1" t="str">
        <f t="shared" si="0"/>
        <v>Tue</v>
      </c>
      <c r="C16">
        <v>23421.65</v>
      </c>
      <c r="D16">
        <v>23426.3</v>
      </c>
      <c r="E16">
        <v>22976.85</v>
      </c>
      <c r="F16">
        <v>23024.65</v>
      </c>
      <c r="G16" s="2">
        <v>16.529375000000002</v>
      </c>
      <c r="H16">
        <f t="shared" si="1"/>
        <v>449.45000000000073</v>
      </c>
      <c r="I16">
        <f t="shared" si="2"/>
        <v>4.6499999999978172</v>
      </c>
      <c r="J16">
        <f t="shared" si="3"/>
        <v>444.80000000000291</v>
      </c>
      <c r="K16">
        <f t="shared" si="4"/>
        <v>397</v>
      </c>
    </row>
    <row r="17" spans="1:11" x14ac:dyDescent="0.25">
      <c r="A17" s="1">
        <v>45679</v>
      </c>
      <c r="B17" s="1" t="str">
        <f t="shared" si="0"/>
        <v>Wed</v>
      </c>
      <c r="C17">
        <v>23099.15</v>
      </c>
      <c r="D17">
        <v>23169.55</v>
      </c>
      <c r="E17">
        <v>22981.3</v>
      </c>
      <c r="F17">
        <v>23155.35</v>
      </c>
      <c r="G17" s="2">
        <v>16.756875000000001</v>
      </c>
      <c r="H17">
        <f t="shared" si="1"/>
        <v>188.25</v>
      </c>
      <c r="I17">
        <f t="shared" si="2"/>
        <v>70.399999999997817</v>
      </c>
      <c r="J17">
        <f t="shared" si="3"/>
        <v>117.85000000000218</v>
      </c>
      <c r="K17">
        <f t="shared" si="4"/>
        <v>56.19999999999709</v>
      </c>
    </row>
    <row r="18" spans="1:11" x14ac:dyDescent="0.25">
      <c r="A18" s="1">
        <v>45869</v>
      </c>
      <c r="B18" s="1" t="str">
        <f t="shared" si="0"/>
        <v>Thu</v>
      </c>
      <c r="C18">
        <v>24642.25</v>
      </c>
      <c r="D18">
        <v>24956.5</v>
      </c>
      <c r="E18">
        <v>24635</v>
      </c>
      <c r="F18">
        <v>24768.35</v>
      </c>
      <c r="G18" s="2">
        <v>11.5175</v>
      </c>
      <c r="H18">
        <f t="shared" si="1"/>
        <v>321.5</v>
      </c>
      <c r="I18">
        <f t="shared" si="2"/>
        <v>314.25</v>
      </c>
      <c r="J18">
        <f t="shared" si="3"/>
        <v>7.25</v>
      </c>
      <c r="K18">
        <f t="shared" si="4"/>
        <v>126.09999999999854</v>
      </c>
    </row>
    <row r="19" spans="1:11" x14ac:dyDescent="0.25">
      <c r="A19" s="1">
        <v>45681</v>
      </c>
      <c r="B19" s="1" t="str">
        <f t="shared" si="0"/>
        <v>Fri</v>
      </c>
      <c r="C19">
        <v>23183.9</v>
      </c>
      <c r="D19">
        <v>23347.3</v>
      </c>
      <c r="E19">
        <v>23050</v>
      </c>
      <c r="F19">
        <v>23092.2</v>
      </c>
      <c r="G19" s="2">
        <v>16.716874999999998</v>
      </c>
      <c r="H19">
        <f t="shared" si="1"/>
        <v>297.29999999999927</v>
      </c>
      <c r="I19">
        <f t="shared" si="2"/>
        <v>163.39999999999782</v>
      </c>
      <c r="J19">
        <f t="shared" si="3"/>
        <v>133.90000000000146</v>
      </c>
      <c r="K19">
        <f t="shared" si="4"/>
        <v>91.700000000000728</v>
      </c>
    </row>
    <row r="20" spans="1:11" x14ac:dyDescent="0.25">
      <c r="A20" s="1">
        <v>45684</v>
      </c>
      <c r="B20" s="1" t="str">
        <f t="shared" si="0"/>
        <v>Mon</v>
      </c>
      <c r="C20">
        <v>22940.15</v>
      </c>
      <c r="D20">
        <v>23007.45</v>
      </c>
      <c r="E20">
        <v>22786.9</v>
      </c>
      <c r="F20">
        <v>22829.15</v>
      </c>
      <c r="G20" s="2">
        <v>17.536250000000003</v>
      </c>
      <c r="H20">
        <f t="shared" si="1"/>
        <v>220.54999999999927</v>
      </c>
      <c r="I20">
        <f t="shared" si="2"/>
        <v>67.299999999999272</v>
      </c>
      <c r="J20">
        <f t="shared" si="3"/>
        <v>153.25</v>
      </c>
      <c r="K20">
        <f t="shared" si="4"/>
        <v>111</v>
      </c>
    </row>
    <row r="21" spans="1:11" x14ac:dyDescent="0.25">
      <c r="A21" s="1">
        <v>45685</v>
      </c>
      <c r="B21" s="1" t="str">
        <f t="shared" si="0"/>
        <v>Tue</v>
      </c>
      <c r="C21">
        <v>22960.45</v>
      </c>
      <c r="D21">
        <v>23137.95</v>
      </c>
      <c r="E21">
        <v>22857.65</v>
      </c>
      <c r="F21">
        <v>22957.25</v>
      </c>
      <c r="G21" s="2">
        <v>17.914375</v>
      </c>
      <c r="H21">
        <f t="shared" si="1"/>
        <v>280.29999999999927</v>
      </c>
      <c r="I21">
        <f t="shared" si="2"/>
        <v>177.5</v>
      </c>
      <c r="J21">
        <f t="shared" si="3"/>
        <v>102.79999999999927</v>
      </c>
      <c r="K21">
        <f t="shared" si="4"/>
        <v>3.2000000000007276</v>
      </c>
    </row>
    <row r="22" spans="1:11" x14ac:dyDescent="0.25">
      <c r="A22" s="1">
        <v>45686</v>
      </c>
      <c r="B22" s="1" t="str">
        <f t="shared" si="0"/>
        <v>Wed</v>
      </c>
      <c r="C22">
        <v>23026.75</v>
      </c>
      <c r="D22">
        <v>23183.35</v>
      </c>
      <c r="E22">
        <v>22976.5</v>
      </c>
      <c r="F22">
        <v>23163.1</v>
      </c>
      <c r="G22" s="2">
        <v>18.283124999999998</v>
      </c>
      <c r="H22">
        <f t="shared" si="1"/>
        <v>206.84999999999854</v>
      </c>
      <c r="I22">
        <f t="shared" si="2"/>
        <v>156.59999999999854</v>
      </c>
      <c r="J22">
        <f t="shared" si="3"/>
        <v>50.25</v>
      </c>
      <c r="K22">
        <f t="shared" si="4"/>
        <v>136.34999999999854</v>
      </c>
    </row>
    <row r="23" spans="1:11" x14ac:dyDescent="0.25">
      <c r="A23" s="1">
        <v>45848</v>
      </c>
      <c r="B23" s="1" t="str">
        <f t="shared" si="0"/>
        <v>Thu</v>
      </c>
      <c r="C23">
        <v>25511.65</v>
      </c>
      <c r="D23">
        <v>25524.05</v>
      </c>
      <c r="E23">
        <v>25340.45</v>
      </c>
      <c r="F23">
        <v>25355.25</v>
      </c>
      <c r="G23" s="2">
        <v>11.852499999999999</v>
      </c>
      <c r="H23">
        <f t="shared" si="1"/>
        <v>183.59999999999854</v>
      </c>
      <c r="I23">
        <f t="shared" si="2"/>
        <v>12.399999999997817</v>
      </c>
      <c r="J23">
        <f t="shared" si="3"/>
        <v>171.20000000000073</v>
      </c>
      <c r="K23">
        <f t="shared" si="4"/>
        <v>156.40000000000146</v>
      </c>
    </row>
    <row r="24" spans="1:11" x14ac:dyDescent="0.25">
      <c r="A24" s="1">
        <v>45688</v>
      </c>
      <c r="B24" s="1" t="str">
        <f t="shared" si="0"/>
        <v>Fri</v>
      </c>
      <c r="C24">
        <v>23296.75</v>
      </c>
      <c r="D24">
        <v>23546.799999999999</v>
      </c>
      <c r="E24">
        <v>23277.4</v>
      </c>
      <c r="F24">
        <v>23508.400000000001</v>
      </c>
      <c r="G24" s="2">
        <v>16.921875</v>
      </c>
      <c r="H24">
        <f t="shared" si="1"/>
        <v>269.39999999999782</v>
      </c>
      <c r="I24">
        <f t="shared" si="2"/>
        <v>250.04999999999927</v>
      </c>
      <c r="J24">
        <f t="shared" si="3"/>
        <v>19.349999999998545</v>
      </c>
      <c r="K24">
        <f t="shared" si="4"/>
        <v>211.65000000000146</v>
      </c>
    </row>
    <row r="25" spans="1:11" x14ac:dyDescent="0.25">
      <c r="A25" s="1">
        <v>45689</v>
      </c>
      <c r="B25" s="1" t="str">
        <f t="shared" si="0"/>
        <v>Sat</v>
      </c>
      <c r="C25">
        <v>23528.6</v>
      </c>
      <c r="D25">
        <v>23632.45</v>
      </c>
      <c r="E25">
        <v>23318.3</v>
      </c>
      <c r="F25">
        <v>23482.15</v>
      </c>
      <c r="G25" s="2">
        <v>15.233750000000001</v>
      </c>
      <c r="H25">
        <f t="shared" si="1"/>
        <v>314.15000000000146</v>
      </c>
      <c r="I25">
        <f t="shared" si="2"/>
        <v>103.85000000000218</v>
      </c>
      <c r="J25">
        <f t="shared" si="3"/>
        <v>210.29999999999927</v>
      </c>
      <c r="K25">
        <f t="shared" si="4"/>
        <v>46.44999999999709</v>
      </c>
    </row>
    <row r="26" spans="1:11" x14ac:dyDescent="0.25">
      <c r="A26" s="1">
        <v>45691</v>
      </c>
      <c r="B26" s="1" t="str">
        <f t="shared" si="0"/>
        <v>Mon</v>
      </c>
      <c r="C26">
        <v>23319.35</v>
      </c>
      <c r="D26">
        <v>23381.599999999999</v>
      </c>
      <c r="E26">
        <v>23222</v>
      </c>
      <c r="F26">
        <v>23361.05</v>
      </c>
      <c r="G26" s="2">
        <v>14.41375</v>
      </c>
      <c r="H26">
        <f t="shared" si="1"/>
        <v>159.59999999999854</v>
      </c>
      <c r="I26">
        <f t="shared" si="2"/>
        <v>62.25</v>
      </c>
      <c r="J26">
        <f t="shared" si="3"/>
        <v>97.349999999998545</v>
      </c>
      <c r="K26">
        <f t="shared" si="4"/>
        <v>41.700000000000728</v>
      </c>
    </row>
    <row r="27" spans="1:11" x14ac:dyDescent="0.25">
      <c r="A27" s="1">
        <v>45692</v>
      </c>
      <c r="B27" s="1" t="str">
        <f t="shared" si="0"/>
        <v>Tue</v>
      </c>
      <c r="C27">
        <v>23509.9</v>
      </c>
      <c r="D27">
        <v>23762.75</v>
      </c>
      <c r="E27">
        <v>23423.15</v>
      </c>
      <c r="F27">
        <v>23739.25</v>
      </c>
      <c r="G27" s="2">
        <v>14.291874999999999</v>
      </c>
      <c r="H27">
        <f t="shared" si="1"/>
        <v>339.59999999999854</v>
      </c>
      <c r="I27">
        <f t="shared" si="2"/>
        <v>252.84999999999854</v>
      </c>
      <c r="J27">
        <f t="shared" si="3"/>
        <v>86.75</v>
      </c>
      <c r="K27">
        <f t="shared" si="4"/>
        <v>229.34999999999854</v>
      </c>
    </row>
    <row r="28" spans="1:11" x14ac:dyDescent="0.25">
      <c r="A28" s="1">
        <v>45693</v>
      </c>
      <c r="B28" s="1" t="str">
        <f t="shared" si="0"/>
        <v>Wed</v>
      </c>
      <c r="C28">
        <v>23801.75</v>
      </c>
      <c r="D28">
        <v>23807.3</v>
      </c>
      <c r="E28">
        <v>23680.45</v>
      </c>
      <c r="F28">
        <v>23696.3</v>
      </c>
      <c r="G28" s="2">
        <v>13.973749999999999</v>
      </c>
      <c r="H28">
        <f t="shared" si="1"/>
        <v>126.84999999999854</v>
      </c>
      <c r="I28">
        <f t="shared" si="2"/>
        <v>5.5499999999992724</v>
      </c>
      <c r="J28">
        <f t="shared" si="3"/>
        <v>121.29999999999927</v>
      </c>
      <c r="K28">
        <f t="shared" si="4"/>
        <v>105.45000000000073</v>
      </c>
    </row>
    <row r="29" spans="1:11" x14ac:dyDescent="0.25">
      <c r="A29" s="1">
        <v>45876</v>
      </c>
      <c r="B29" s="1" t="str">
        <f t="shared" si="0"/>
        <v>Thu</v>
      </c>
      <c r="C29">
        <v>24464.2</v>
      </c>
      <c r="D29">
        <v>24634.2</v>
      </c>
      <c r="E29">
        <v>24344.15</v>
      </c>
      <c r="F29">
        <v>24596.15</v>
      </c>
      <c r="G29" s="2">
        <v>11.878124999999999</v>
      </c>
      <c r="H29">
        <f t="shared" si="1"/>
        <v>290.04999999999927</v>
      </c>
      <c r="I29">
        <f t="shared" si="2"/>
        <v>170</v>
      </c>
      <c r="J29">
        <f t="shared" si="3"/>
        <v>120.04999999999927</v>
      </c>
      <c r="K29">
        <f t="shared" si="4"/>
        <v>131.95000000000073</v>
      </c>
    </row>
    <row r="30" spans="1:11" x14ac:dyDescent="0.25">
      <c r="A30" s="1">
        <v>45695</v>
      </c>
      <c r="B30" s="1" t="str">
        <f t="shared" si="0"/>
        <v>Fri</v>
      </c>
      <c r="C30">
        <v>23649.5</v>
      </c>
      <c r="D30">
        <v>23694.5</v>
      </c>
      <c r="E30">
        <v>23443.200000000001</v>
      </c>
      <c r="F30">
        <v>23559.95</v>
      </c>
      <c r="G30" s="2">
        <v>13.978750000000002</v>
      </c>
      <c r="H30">
        <f t="shared" si="1"/>
        <v>251.29999999999927</v>
      </c>
      <c r="I30">
        <f t="shared" si="2"/>
        <v>45</v>
      </c>
      <c r="J30">
        <f t="shared" si="3"/>
        <v>206.29999999999927</v>
      </c>
      <c r="K30">
        <f t="shared" si="4"/>
        <v>89.549999999999272</v>
      </c>
    </row>
    <row r="31" spans="1:11" x14ac:dyDescent="0.25">
      <c r="A31" s="1">
        <v>45698</v>
      </c>
      <c r="B31" s="1" t="str">
        <f t="shared" si="0"/>
        <v>Mon</v>
      </c>
      <c r="C31">
        <v>23543.8</v>
      </c>
      <c r="D31">
        <v>23568.6</v>
      </c>
      <c r="E31">
        <v>23316.3</v>
      </c>
      <c r="F31">
        <v>23381.599999999999</v>
      </c>
      <c r="G31" s="2">
        <v>14.133125</v>
      </c>
      <c r="H31">
        <f t="shared" si="1"/>
        <v>252.29999999999927</v>
      </c>
      <c r="I31">
        <f t="shared" si="2"/>
        <v>24.799999999999272</v>
      </c>
      <c r="J31">
        <f t="shared" si="3"/>
        <v>227.5</v>
      </c>
      <c r="K31">
        <f t="shared" si="4"/>
        <v>162.20000000000073</v>
      </c>
    </row>
    <row r="32" spans="1:11" x14ac:dyDescent="0.25">
      <c r="A32" s="1">
        <v>45699</v>
      </c>
      <c r="B32" s="1" t="str">
        <f t="shared" si="0"/>
        <v>Tue</v>
      </c>
      <c r="C32">
        <v>23383.55</v>
      </c>
      <c r="D32">
        <v>23390.05</v>
      </c>
      <c r="E32">
        <v>22986.65</v>
      </c>
      <c r="F32">
        <v>23071.8</v>
      </c>
      <c r="G32" s="2">
        <v>14.648124999999999</v>
      </c>
      <c r="H32">
        <f t="shared" si="1"/>
        <v>403.39999999999782</v>
      </c>
      <c r="I32">
        <f t="shared" si="2"/>
        <v>6.5</v>
      </c>
      <c r="J32">
        <f t="shared" si="3"/>
        <v>396.89999999999782</v>
      </c>
      <c r="K32">
        <f t="shared" si="4"/>
        <v>311.75</v>
      </c>
    </row>
    <row r="33" spans="1:11" x14ac:dyDescent="0.25">
      <c r="A33" s="1">
        <v>45700</v>
      </c>
      <c r="B33" s="1" t="str">
        <f t="shared" si="0"/>
        <v>Wed</v>
      </c>
      <c r="C33">
        <v>23050.799999999999</v>
      </c>
      <c r="D33">
        <v>23144.7</v>
      </c>
      <c r="E33">
        <v>22798.35</v>
      </c>
      <c r="F33">
        <v>23045.25</v>
      </c>
      <c r="G33" s="2">
        <v>14.998750000000001</v>
      </c>
      <c r="H33">
        <f t="shared" si="1"/>
        <v>346.35000000000218</v>
      </c>
      <c r="I33">
        <f t="shared" si="2"/>
        <v>93.900000000001455</v>
      </c>
      <c r="J33">
        <f t="shared" si="3"/>
        <v>252.45000000000073</v>
      </c>
      <c r="K33">
        <f t="shared" si="4"/>
        <v>5.5499999999992724</v>
      </c>
    </row>
    <row r="34" spans="1:11" x14ac:dyDescent="0.25">
      <c r="A34" s="1">
        <v>45883</v>
      </c>
      <c r="B34" s="1" t="str">
        <f t="shared" ref="B34:B65" si="5">+TEXT(A34,"ddd")</f>
        <v>Thu</v>
      </c>
      <c r="C34">
        <v>24607.25</v>
      </c>
      <c r="D34">
        <v>24673.65</v>
      </c>
      <c r="E34">
        <v>24596.9</v>
      </c>
      <c r="F34">
        <v>24631.3</v>
      </c>
      <c r="G34" s="2">
        <v>12.110624999999999</v>
      </c>
      <c r="H34">
        <f t="shared" si="1"/>
        <v>76.75</v>
      </c>
      <c r="I34">
        <f t="shared" si="2"/>
        <v>66.400000000001455</v>
      </c>
      <c r="J34">
        <f t="shared" si="3"/>
        <v>10.349999999998545</v>
      </c>
      <c r="K34">
        <f t="shared" si="4"/>
        <v>24.049999999999272</v>
      </c>
    </row>
    <row r="35" spans="1:11" x14ac:dyDescent="0.25">
      <c r="A35" s="1">
        <v>45702</v>
      </c>
      <c r="B35" s="1" t="str">
        <f t="shared" si="5"/>
        <v>Fri</v>
      </c>
      <c r="C35">
        <v>23096.45</v>
      </c>
      <c r="D35">
        <v>23133.7</v>
      </c>
      <c r="E35">
        <v>22774.85</v>
      </c>
      <c r="F35">
        <v>22929.25</v>
      </c>
      <c r="G35" s="2">
        <v>15.001250000000001</v>
      </c>
      <c r="H35">
        <f t="shared" si="1"/>
        <v>358.85000000000218</v>
      </c>
      <c r="I35">
        <f t="shared" si="2"/>
        <v>37.25</v>
      </c>
      <c r="J35">
        <f t="shared" si="3"/>
        <v>321.60000000000218</v>
      </c>
      <c r="K35">
        <f t="shared" si="4"/>
        <v>167.20000000000073</v>
      </c>
    </row>
    <row r="36" spans="1:11" x14ac:dyDescent="0.25">
      <c r="A36" s="1">
        <v>45705</v>
      </c>
      <c r="B36" s="1" t="str">
        <f t="shared" si="5"/>
        <v>Mon</v>
      </c>
      <c r="C36">
        <v>22809.9</v>
      </c>
      <c r="D36">
        <v>22974.2</v>
      </c>
      <c r="E36">
        <v>22725.45</v>
      </c>
      <c r="F36">
        <v>22959.5</v>
      </c>
      <c r="G36" s="2">
        <v>15.38625</v>
      </c>
      <c r="H36">
        <f t="shared" si="1"/>
        <v>248.75</v>
      </c>
      <c r="I36">
        <f t="shared" si="2"/>
        <v>164.29999999999927</v>
      </c>
      <c r="J36">
        <f t="shared" si="3"/>
        <v>84.450000000000728</v>
      </c>
      <c r="K36">
        <f t="shared" si="4"/>
        <v>149.59999999999854</v>
      </c>
    </row>
    <row r="37" spans="1:11" x14ac:dyDescent="0.25">
      <c r="A37" s="1">
        <v>45706</v>
      </c>
      <c r="B37" s="1" t="str">
        <f t="shared" si="5"/>
        <v>Tue</v>
      </c>
      <c r="C37">
        <v>22963.65</v>
      </c>
      <c r="D37">
        <v>22992.5</v>
      </c>
      <c r="E37">
        <v>22801.5</v>
      </c>
      <c r="F37">
        <v>22945.3</v>
      </c>
      <c r="G37" s="2">
        <v>15.6225</v>
      </c>
      <c r="H37">
        <f t="shared" si="1"/>
        <v>191</v>
      </c>
      <c r="I37">
        <f t="shared" si="2"/>
        <v>28.849999999998545</v>
      </c>
      <c r="J37">
        <f t="shared" si="3"/>
        <v>162.15000000000146</v>
      </c>
      <c r="K37">
        <f t="shared" si="4"/>
        <v>18.350000000002183</v>
      </c>
    </row>
    <row r="38" spans="1:11" x14ac:dyDescent="0.25">
      <c r="A38" s="1">
        <v>45707</v>
      </c>
      <c r="B38" s="1" t="str">
        <f t="shared" si="5"/>
        <v>Wed</v>
      </c>
      <c r="C38">
        <v>22847.25</v>
      </c>
      <c r="D38">
        <v>23049.95</v>
      </c>
      <c r="E38">
        <v>22814.85</v>
      </c>
      <c r="F38">
        <v>22932.9</v>
      </c>
      <c r="G38" s="2">
        <v>15.465</v>
      </c>
      <c r="H38">
        <f t="shared" si="1"/>
        <v>235.10000000000218</v>
      </c>
      <c r="I38">
        <f t="shared" si="2"/>
        <v>202.70000000000073</v>
      </c>
      <c r="J38">
        <f t="shared" si="3"/>
        <v>32.400000000001455</v>
      </c>
      <c r="K38">
        <f t="shared" si="4"/>
        <v>85.650000000001455</v>
      </c>
    </row>
    <row r="39" spans="1:11" x14ac:dyDescent="0.25">
      <c r="A39" s="1">
        <v>45897</v>
      </c>
      <c r="B39" s="1" t="str">
        <f t="shared" si="5"/>
        <v>Thu</v>
      </c>
      <c r="C39">
        <v>24695.8</v>
      </c>
      <c r="D39">
        <v>24702.65</v>
      </c>
      <c r="E39">
        <v>24481.599999999999</v>
      </c>
      <c r="F39">
        <v>24500.9</v>
      </c>
      <c r="G39" s="2">
        <v>12.273124999999999</v>
      </c>
      <c r="H39">
        <f t="shared" si="1"/>
        <v>221.05000000000291</v>
      </c>
      <c r="I39">
        <f t="shared" si="2"/>
        <v>6.8500000000021828</v>
      </c>
      <c r="J39">
        <f t="shared" si="3"/>
        <v>214.20000000000073</v>
      </c>
      <c r="K39">
        <f t="shared" si="4"/>
        <v>194.89999999999782</v>
      </c>
    </row>
    <row r="40" spans="1:11" x14ac:dyDescent="0.25">
      <c r="A40" s="1">
        <v>45709</v>
      </c>
      <c r="B40" s="1" t="str">
        <f t="shared" si="5"/>
        <v>Fri</v>
      </c>
      <c r="C40">
        <v>22857.200000000001</v>
      </c>
      <c r="D40">
        <v>22921</v>
      </c>
      <c r="E40">
        <v>22720.3</v>
      </c>
      <c r="F40">
        <v>22795.9</v>
      </c>
      <c r="G40" s="2">
        <v>14.134374999999999</v>
      </c>
      <c r="H40">
        <f t="shared" si="1"/>
        <v>200.70000000000073</v>
      </c>
      <c r="I40">
        <f t="shared" si="2"/>
        <v>63.799999999999272</v>
      </c>
      <c r="J40">
        <f t="shared" si="3"/>
        <v>136.90000000000146</v>
      </c>
      <c r="K40">
        <f t="shared" si="4"/>
        <v>61.299999999999272</v>
      </c>
    </row>
    <row r="41" spans="1:11" x14ac:dyDescent="0.25">
      <c r="A41" s="1">
        <v>45712</v>
      </c>
      <c r="B41" s="1" t="str">
        <f t="shared" si="5"/>
        <v>Mon</v>
      </c>
      <c r="C41">
        <v>22609.35</v>
      </c>
      <c r="D41">
        <v>22668.05</v>
      </c>
      <c r="E41">
        <v>22518.799999999999</v>
      </c>
      <c r="F41">
        <v>22553.35</v>
      </c>
      <c r="G41" s="2">
        <v>14.72875</v>
      </c>
      <c r="H41">
        <f t="shared" si="1"/>
        <v>149.25</v>
      </c>
      <c r="I41">
        <f t="shared" si="2"/>
        <v>58.700000000000728</v>
      </c>
      <c r="J41">
        <f t="shared" si="3"/>
        <v>90.549999999999272</v>
      </c>
      <c r="K41">
        <f t="shared" si="4"/>
        <v>56</v>
      </c>
    </row>
    <row r="42" spans="1:11" x14ac:dyDescent="0.25">
      <c r="A42" s="1">
        <v>45713</v>
      </c>
      <c r="B42" s="1" t="str">
        <f t="shared" si="5"/>
        <v>Tue</v>
      </c>
      <c r="C42">
        <v>22516.45</v>
      </c>
      <c r="D42">
        <v>22625.3</v>
      </c>
      <c r="E42">
        <v>22513.9</v>
      </c>
      <c r="F42">
        <v>22547.55</v>
      </c>
      <c r="G42" s="2">
        <v>14.21125</v>
      </c>
      <c r="H42">
        <f t="shared" si="1"/>
        <v>111.39999999999782</v>
      </c>
      <c r="I42">
        <f t="shared" si="2"/>
        <v>108.84999999999854</v>
      </c>
      <c r="J42">
        <f t="shared" si="3"/>
        <v>2.5499999999992724</v>
      </c>
      <c r="K42">
        <f t="shared" si="4"/>
        <v>31.099999999998545</v>
      </c>
    </row>
    <row r="43" spans="1:11" x14ac:dyDescent="0.25">
      <c r="A43" s="1">
        <v>45841</v>
      </c>
      <c r="B43" s="1" t="str">
        <f t="shared" si="5"/>
        <v>Thu</v>
      </c>
      <c r="C43">
        <v>25505.1</v>
      </c>
      <c r="D43">
        <v>25587.5</v>
      </c>
      <c r="E43">
        <v>25384.35</v>
      </c>
      <c r="F43">
        <v>25405.3</v>
      </c>
      <c r="G43" s="2">
        <v>12.421250000000001</v>
      </c>
      <c r="H43">
        <f t="shared" si="1"/>
        <v>203.15000000000146</v>
      </c>
      <c r="I43">
        <f t="shared" si="2"/>
        <v>82.400000000001455</v>
      </c>
      <c r="J43">
        <f t="shared" si="3"/>
        <v>120.75</v>
      </c>
      <c r="K43">
        <f t="shared" si="4"/>
        <v>99.799999999999272</v>
      </c>
    </row>
    <row r="44" spans="1:11" x14ac:dyDescent="0.25">
      <c r="A44" s="1">
        <v>45716</v>
      </c>
      <c r="B44" s="1" t="str">
        <f t="shared" si="5"/>
        <v>Fri</v>
      </c>
      <c r="C44">
        <v>22433.4</v>
      </c>
      <c r="D44">
        <v>22450.35</v>
      </c>
      <c r="E44">
        <v>22104.85</v>
      </c>
      <c r="F44">
        <v>22124.7</v>
      </c>
      <c r="G44" s="2">
        <v>13.643125000000001</v>
      </c>
      <c r="H44">
        <f t="shared" si="1"/>
        <v>345.5</v>
      </c>
      <c r="I44">
        <f t="shared" si="2"/>
        <v>16.94999999999709</v>
      </c>
      <c r="J44">
        <f t="shared" si="3"/>
        <v>328.55000000000291</v>
      </c>
      <c r="K44">
        <f t="shared" si="4"/>
        <v>308.70000000000073</v>
      </c>
    </row>
    <row r="45" spans="1:11" x14ac:dyDescent="0.25">
      <c r="A45" s="1">
        <v>45719</v>
      </c>
      <c r="B45" s="1" t="str">
        <f t="shared" si="5"/>
        <v>Mon</v>
      </c>
      <c r="C45">
        <v>22194.55</v>
      </c>
      <c r="D45">
        <v>22261.55</v>
      </c>
      <c r="E45">
        <v>22004.7</v>
      </c>
      <c r="F45">
        <v>22119.3</v>
      </c>
      <c r="G45" s="2">
        <v>13.899374999999999</v>
      </c>
      <c r="H45">
        <f t="shared" si="1"/>
        <v>256.84999999999854</v>
      </c>
      <c r="I45">
        <f t="shared" si="2"/>
        <v>67</v>
      </c>
      <c r="J45">
        <f t="shared" si="3"/>
        <v>189.84999999999854</v>
      </c>
      <c r="K45">
        <f t="shared" si="4"/>
        <v>75.25</v>
      </c>
    </row>
    <row r="46" spans="1:11" x14ac:dyDescent="0.25">
      <c r="A46" s="1">
        <v>45720</v>
      </c>
      <c r="B46" s="1" t="str">
        <f t="shared" si="5"/>
        <v>Tue</v>
      </c>
      <c r="C46">
        <v>21974.45</v>
      </c>
      <c r="D46">
        <v>22105.05</v>
      </c>
      <c r="E46">
        <v>21964.6</v>
      </c>
      <c r="F46">
        <v>22082.65</v>
      </c>
      <c r="G46" s="2">
        <v>13.790625</v>
      </c>
      <c r="H46">
        <f t="shared" si="1"/>
        <v>140.45000000000073</v>
      </c>
      <c r="I46">
        <f t="shared" si="2"/>
        <v>130.59999999999854</v>
      </c>
      <c r="J46">
        <f t="shared" si="3"/>
        <v>9.8500000000021828</v>
      </c>
      <c r="K46">
        <f t="shared" si="4"/>
        <v>108.20000000000073</v>
      </c>
    </row>
    <row r="47" spans="1:11" x14ac:dyDescent="0.25">
      <c r="A47" s="1">
        <v>45721</v>
      </c>
      <c r="B47" s="1" t="str">
        <f t="shared" si="5"/>
        <v>Wed</v>
      </c>
      <c r="C47">
        <v>22073.05</v>
      </c>
      <c r="D47">
        <v>22394.9</v>
      </c>
      <c r="E47">
        <v>22067.8</v>
      </c>
      <c r="F47">
        <v>22337.3</v>
      </c>
      <c r="G47" s="2">
        <v>13.68125</v>
      </c>
      <c r="H47">
        <f t="shared" si="1"/>
        <v>327.10000000000218</v>
      </c>
      <c r="I47">
        <f t="shared" si="2"/>
        <v>321.85000000000218</v>
      </c>
      <c r="J47">
        <f t="shared" si="3"/>
        <v>5.25</v>
      </c>
      <c r="K47">
        <f t="shared" si="4"/>
        <v>264.25</v>
      </c>
    </row>
    <row r="48" spans="1:11" x14ac:dyDescent="0.25">
      <c r="A48" s="1">
        <v>45834</v>
      </c>
      <c r="B48" s="1" t="str">
        <f t="shared" si="5"/>
        <v>Thu</v>
      </c>
      <c r="C48">
        <v>25268.95</v>
      </c>
      <c r="D48">
        <v>25565.3</v>
      </c>
      <c r="E48">
        <v>25259.9</v>
      </c>
      <c r="F48">
        <v>25549</v>
      </c>
      <c r="G48" s="2">
        <v>12.849375000000002</v>
      </c>
      <c r="H48">
        <f t="shared" si="1"/>
        <v>305.39999999999782</v>
      </c>
      <c r="I48">
        <f t="shared" si="2"/>
        <v>296.34999999999854</v>
      </c>
      <c r="J48">
        <f t="shared" si="3"/>
        <v>9.0499999999992724</v>
      </c>
      <c r="K48">
        <f t="shared" si="4"/>
        <v>280.04999999999927</v>
      </c>
    </row>
    <row r="49" spans="1:11" x14ac:dyDescent="0.25">
      <c r="A49" s="1">
        <v>45723</v>
      </c>
      <c r="B49" s="1" t="str">
        <f t="shared" si="5"/>
        <v>Fri</v>
      </c>
      <c r="C49">
        <v>22508.65</v>
      </c>
      <c r="D49">
        <v>22633.8</v>
      </c>
      <c r="E49">
        <v>22464.75</v>
      </c>
      <c r="F49">
        <v>22552.5</v>
      </c>
      <c r="G49" s="2">
        <v>13.596875000000001</v>
      </c>
      <c r="H49">
        <f t="shared" si="1"/>
        <v>169.04999999999927</v>
      </c>
      <c r="I49">
        <f t="shared" si="2"/>
        <v>125.14999999999782</v>
      </c>
      <c r="J49">
        <f t="shared" si="3"/>
        <v>43.900000000001455</v>
      </c>
      <c r="K49">
        <f t="shared" si="4"/>
        <v>43.849999999998545</v>
      </c>
    </row>
    <row r="50" spans="1:11" x14ac:dyDescent="0.25">
      <c r="A50" s="1">
        <v>45726</v>
      </c>
      <c r="B50" s="1" t="str">
        <f t="shared" si="5"/>
        <v>Mon</v>
      </c>
      <c r="C50">
        <v>22521.85</v>
      </c>
      <c r="D50">
        <v>22676.75</v>
      </c>
      <c r="E50">
        <v>22429.05</v>
      </c>
      <c r="F50">
        <v>22460.3</v>
      </c>
      <c r="G50" s="2">
        <v>13.784375000000001</v>
      </c>
      <c r="H50">
        <f t="shared" si="1"/>
        <v>247.70000000000073</v>
      </c>
      <c r="I50">
        <f t="shared" si="2"/>
        <v>154.90000000000146</v>
      </c>
      <c r="J50">
        <f t="shared" si="3"/>
        <v>92.799999999999272</v>
      </c>
      <c r="K50">
        <f t="shared" si="4"/>
        <v>61.549999999999272</v>
      </c>
    </row>
    <row r="51" spans="1:11" x14ac:dyDescent="0.25">
      <c r="A51" s="1">
        <v>45727</v>
      </c>
      <c r="B51" s="1" t="str">
        <f t="shared" si="5"/>
        <v>Tue</v>
      </c>
      <c r="C51">
        <v>22345.95</v>
      </c>
      <c r="D51">
        <v>22522.1</v>
      </c>
      <c r="E51">
        <v>22314.7</v>
      </c>
      <c r="F51">
        <v>22497.9</v>
      </c>
      <c r="G51" s="2">
        <v>14.058124999999999</v>
      </c>
      <c r="H51">
        <f t="shared" si="1"/>
        <v>207.39999999999782</v>
      </c>
      <c r="I51">
        <f t="shared" si="2"/>
        <v>176.14999999999782</v>
      </c>
      <c r="J51">
        <f t="shared" si="3"/>
        <v>31.25</v>
      </c>
      <c r="K51">
        <f t="shared" si="4"/>
        <v>151.95000000000073</v>
      </c>
    </row>
    <row r="52" spans="1:11" x14ac:dyDescent="0.25">
      <c r="A52" s="1">
        <v>45728</v>
      </c>
      <c r="B52" s="1" t="str">
        <f t="shared" si="5"/>
        <v>Wed</v>
      </c>
      <c r="C52">
        <v>22536.35</v>
      </c>
      <c r="D52">
        <v>22577.4</v>
      </c>
      <c r="E52">
        <v>22329.55</v>
      </c>
      <c r="F52">
        <v>22470.5</v>
      </c>
      <c r="G52" s="2">
        <v>13.942499999999999</v>
      </c>
      <c r="H52">
        <f t="shared" si="1"/>
        <v>247.85000000000218</v>
      </c>
      <c r="I52">
        <f t="shared" si="2"/>
        <v>41.05000000000291</v>
      </c>
      <c r="J52">
        <f t="shared" si="3"/>
        <v>206.79999999999927</v>
      </c>
      <c r="K52">
        <f t="shared" si="4"/>
        <v>65.849999999998545</v>
      </c>
    </row>
    <row r="53" spans="1:11" x14ac:dyDescent="0.25">
      <c r="A53" s="1">
        <v>45736</v>
      </c>
      <c r="B53" s="1" t="str">
        <f t="shared" si="5"/>
        <v>Thu</v>
      </c>
      <c r="C53">
        <v>23036.6</v>
      </c>
      <c r="D53">
        <v>23216.7</v>
      </c>
      <c r="E53">
        <v>22973.95</v>
      </c>
      <c r="F53">
        <v>23190.65</v>
      </c>
      <c r="G53" s="2">
        <v>12.926875000000001</v>
      </c>
      <c r="H53">
        <f t="shared" si="1"/>
        <v>242.75</v>
      </c>
      <c r="I53">
        <f t="shared" si="2"/>
        <v>180.10000000000218</v>
      </c>
      <c r="J53">
        <f t="shared" si="3"/>
        <v>62.649999999997817</v>
      </c>
      <c r="K53">
        <f t="shared" si="4"/>
        <v>154.05000000000291</v>
      </c>
    </row>
    <row r="54" spans="1:11" x14ac:dyDescent="0.25">
      <c r="A54" s="1">
        <v>45733</v>
      </c>
      <c r="B54" s="1" t="str">
        <f t="shared" si="5"/>
        <v>Mon</v>
      </c>
      <c r="C54">
        <v>22353.15</v>
      </c>
      <c r="D54">
        <v>22577</v>
      </c>
      <c r="E54">
        <v>22353.15</v>
      </c>
      <c r="F54">
        <v>22508.75</v>
      </c>
      <c r="G54" s="2">
        <v>13.519375</v>
      </c>
      <c r="H54">
        <f t="shared" si="1"/>
        <v>223.84999999999854</v>
      </c>
      <c r="I54">
        <f t="shared" si="2"/>
        <v>223.84999999999854</v>
      </c>
      <c r="J54">
        <f t="shared" si="3"/>
        <v>0</v>
      </c>
      <c r="K54">
        <f t="shared" si="4"/>
        <v>155.59999999999854</v>
      </c>
    </row>
    <row r="55" spans="1:11" x14ac:dyDescent="0.25">
      <c r="A55" s="1">
        <v>45734</v>
      </c>
      <c r="B55" s="1" t="str">
        <f t="shared" si="5"/>
        <v>Tue</v>
      </c>
      <c r="C55">
        <v>22662.25</v>
      </c>
      <c r="D55">
        <v>22857.8</v>
      </c>
      <c r="E55">
        <v>22599.200000000001</v>
      </c>
      <c r="F55">
        <v>22834.3</v>
      </c>
      <c r="G55" s="2">
        <v>12.904999999999999</v>
      </c>
      <c r="H55">
        <f t="shared" si="1"/>
        <v>258.59999999999854</v>
      </c>
      <c r="I55">
        <f t="shared" si="2"/>
        <v>195.54999999999927</v>
      </c>
      <c r="J55">
        <f t="shared" si="3"/>
        <v>63.049999999999272</v>
      </c>
      <c r="K55">
        <f t="shared" si="4"/>
        <v>172.04999999999927</v>
      </c>
    </row>
    <row r="56" spans="1:11" x14ac:dyDescent="0.25">
      <c r="A56" s="1">
        <v>45735</v>
      </c>
      <c r="B56" s="1" t="str">
        <f t="shared" si="5"/>
        <v>Wed</v>
      </c>
      <c r="C56">
        <v>22874.95</v>
      </c>
      <c r="D56">
        <v>22940.7</v>
      </c>
      <c r="E56">
        <v>22807.95</v>
      </c>
      <c r="F56">
        <v>22907.599999999999</v>
      </c>
      <c r="G56" s="2">
        <v>13.166875000000001</v>
      </c>
      <c r="H56">
        <f t="shared" si="1"/>
        <v>132.75</v>
      </c>
      <c r="I56">
        <f t="shared" si="2"/>
        <v>65.75</v>
      </c>
      <c r="J56">
        <f t="shared" si="3"/>
        <v>67</v>
      </c>
      <c r="K56">
        <f t="shared" si="4"/>
        <v>32.649999999997817</v>
      </c>
    </row>
    <row r="57" spans="1:11" x14ac:dyDescent="0.25">
      <c r="A57" s="1">
        <v>45743</v>
      </c>
      <c r="B57" s="1" t="str">
        <f t="shared" si="5"/>
        <v>Thu</v>
      </c>
      <c r="C57">
        <v>23433.95</v>
      </c>
      <c r="D57">
        <v>23646.45</v>
      </c>
      <c r="E57">
        <v>23412.2</v>
      </c>
      <c r="F57">
        <v>23591.95</v>
      </c>
      <c r="G57" s="2">
        <v>13.399374999999999</v>
      </c>
      <c r="H57">
        <f t="shared" si="1"/>
        <v>234.25</v>
      </c>
      <c r="I57">
        <f t="shared" si="2"/>
        <v>212.5</v>
      </c>
      <c r="J57">
        <f t="shared" si="3"/>
        <v>21.75</v>
      </c>
      <c r="K57">
        <f t="shared" si="4"/>
        <v>158</v>
      </c>
    </row>
    <row r="58" spans="1:11" x14ac:dyDescent="0.25">
      <c r="A58" s="1">
        <v>45737</v>
      </c>
      <c r="B58" s="1" t="str">
        <f t="shared" si="5"/>
        <v>Fri</v>
      </c>
      <c r="C58">
        <v>23168.25</v>
      </c>
      <c r="D58">
        <v>23402.7</v>
      </c>
      <c r="E58">
        <v>23132.799999999999</v>
      </c>
      <c r="F58">
        <v>23350.400000000001</v>
      </c>
      <c r="G58" s="2">
        <v>12.178125</v>
      </c>
      <c r="H58">
        <f t="shared" si="1"/>
        <v>269.90000000000146</v>
      </c>
      <c r="I58">
        <f t="shared" si="2"/>
        <v>234.45000000000073</v>
      </c>
      <c r="J58">
        <f t="shared" si="3"/>
        <v>35.450000000000728</v>
      </c>
      <c r="K58">
        <f t="shared" si="4"/>
        <v>182.15000000000146</v>
      </c>
    </row>
    <row r="59" spans="1:11" x14ac:dyDescent="0.25">
      <c r="A59" s="1">
        <v>45740</v>
      </c>
      <c r="B59" s="1" t="str">
        <f t="shared" si="5"/>
        <v>Mon</v>
      </c>
      <c r="C59">
        <v>23515.4</v>
      </c>
      <c r="D59">
        <v>23708.75</v>
      </c>
      <c r="E59">
        <v>23433.5</v>
      </c>
      <c r="F59">
        <v>23658.35</v>
      </c>
      <c r="G59" s="2">
        <v>13.200624999999999</v>
      </c>
      <c r="H59">
        <f t="shared" si="1"/>
        <v>275.25</v>
      </c>
      <c r="I59">
        <f t="shared" si="2"/>
        <v>193.34999999999854</v>
      </c>
      <c r="J59">
        <f t="shared" si="3"/>
        <v>81.900000000001455</v>
      </c>
      <c r="K59">
        <f t="shared" si="4"/>
        <v>142.94999999999709</v>
      </c>
    </row>
    <row r="60" spans="1:11" x14ac:dyDescent="0.25">
      <c r="A60" s="1">
        <v>45741</v>
      </c>
      <c r="B60" s="1" t="str">
        <f t="shared" si="5"/>
        <v>Tue</v>
      </c>
      <c r="C60">
        <v>23751.5</v>
      </c>
      <c r="D60">
        <v>23869.599999999999</v>
      </c>
      <c r="E60">
        <v>23601.4</v>
      </c>
      <c r="F60">
        <v>23668.65</v>
      </c>
      <c r="G60" s="2">
        <v>13.82625</v>
      </c>
      <c r="H60">
        <f t="shared" si="1"/>
        <v>268.19999999999709</v>
      </c>
      <c r="I60">
        <f t="shared" si="2"/>
        <v>118.09999999999854</v>
      </c>
      <c r="J60">
        <f t="shared" si="3"/>
        <v>150.09999999999854</v>
      </c>
      <c r="K60">
        <f t="shared" si="4"/>
        <v>82.849999999998545</v>
      </c>
    </row>
    <row r="61" spans="1:11" x14ac:dyDescent="0.25">
      <c r="A61" s="1">
        <v>45742</v>
      </c>
      <c r="B61" s="1" t="str">
        <f t="shared" si="5"/>
        <v>Wed</v>
      </c>
      <c r="C61">
        <v>23700.95</v>
      </c>
      <c r="D61">
        <v>23736.5</v>
      </c>
      <c r="E61">
        <v>23451.7</v>
      </c>
      <c r="F61">
        <v>23486.85</v>
      </c>
      <c r="G61" s="2">
        <v>13.581249999999999</v>
      </c>
      <c r="H61">
        <f t="shared" si="1"/>
        <v>284.79999999999927</v>
      </c>
      <c r="I61">
        <f t="shared" si="2"/>
        <v>35.549999999999272</v>
      </c>
      <c r="J61">
        <f t="shared" si="3"/>
        <v>249.25</v>
      </c>
      <c r="K61">
        <f t="shared" si="4"/>
        <v>214.10000000000218</v>
      </c>
    </row>
    <row r="62" spans="1:11" x14ac:dyDescent="0.25">
      <c r="A62" s="1">
        <v>45715</v>
      </c>
      <c r="B62" s="1" t="str">
        <f t="shared" si="5"/>
        <v>Thu</v>
      </c>
      <c r="C62">
        <v>22568.95</v>
      </c>
      <c r="D62">
        <v>22613.3</v>
      </c>
      <c r="E62">
        <v>22508.400000000001</v>
      </c>
      <c r="F62">
        <v>22545.05</v>
      </c>
      <c r="G62" s="2">
        <v>13.485625000000001</v>
      </c>
      <c r="H62">
        <f t="shared" si="1"/>
        <v>104.89999999999782</v>
      </c>
      <c r="I62">
        <f t="shared" si="2"/>
        <v>44.349999999998545</v>
      </c>
      <c r="J62">
        <f t="shared" si="3"/>
        <v>60.549999999999272</v>
      </c>
      <c r="K62">
        <f t="shared" si="4"/>
        <v>23.900000000001455</v>
      </c>
    </row>
    <row r="63" spans="1:11" x14ac:dyDescent="0.25">
      <c r="A63" s="1">
        <v>45744</v>
      </c>
      <c r="B63" s="1" t="str">
        <f t="shared" si="5"/>
        <v>Fri</v>
      </c>
      <c r="C63">
        <v>23600.400000000001</v>
      </c>
      <c r="D63">
        <v>23649.200000000001</v>
      </c>
      <c r="E63">
        <v>23450.2</v>
      </c>
      <c r="F63">
        <v>23519.35</v>
      </c>
      <c r="G63" s="2">
        <v>13.050625</v>
      </c>
      <c r="H63">
        <f t="shared" si="1"/>
        <v>199</v>
      </c>
      <c r="I63">
        <f t="shared" si="2"/>
        <v>48.799999999999272</v>
      </c>
      <c r="J63">
        <f t="shared" si="3"/>
        <v>150.20000000000073</v>
      </c>
      <c r="K63">
        <f t="shared" si="4"/>
        <v>81.05000000000291</v>
      </c>
    </row>
    <row r="64" spans="1:11" x14ac:dyDescent="0.25">
      <c r="A64" s="1">
        <v>45748</v>
      </c>
      <c r="B64" s="1" t="str">
        <f t="shared" si="5"/>
        <v>Tue</v>
      </c>
      <c r="C64">
        <v>23341.1</v>
      </c>
      <c r="D64">
        <v>23565.15</v>
      </c>
      <c r="E64">
        <v>23136.400000000001</v>
      </c>
      <c r="F64">
        <v>23165.7</v>
      </c>
      <c r="G64" s="2">
        <v>13.316875</v>
      </c>
      <c r="H64">
        <f t="shared" si="1"/>
        <v>428.75</v>
      </c>
      <c r="I64">
        <f t="shared" si="2"/>
        <v>224.05000000000291</v>
      </c>
      <c r="J64">
        <f t="shared" si="3"/>
        <v>204.69999999999709</v>
      </c>
      <c r="K64">
        <f t="shared" si="4"/>
        <v>175.39999999999782</v>
      </c>
    </row>
    <row r="65" spans="1:11" x14ac:dyDescent="0.25">
      <c r="A65" s="1">
        <v>45749</v>
      </c>
      <c r="B65" s="1" t="str">
        <f t="shared" si="5"/>
        <v>Wed</v>
      </c>
      <c r="C65">
        <v>23192.6</v>
      </c>
      <c r="D65">
        <v>23350</v>
      </c>
      <c r="E65">
        <v>23158.45</v>
      </c>
      <c r="F65">
        <v>23332.35</v>
      </c>
      <c r="G65" s="2">
        <v>13.789375</v>
      </c>
      <c r="H65">
        <f t="shared" si="1"/>
        <v>191.54999999999927</v>
      </c>
      <c r="I65">
        <f t="shared" si="2"/>
        <v>157.40000000000146</v>
      </c>
      <c r="J65">
        <f t="shared" si="3"/>
        <v>34.149999999997817</v>
      </c>
      <c r="K65">
        <f t="shared" si="4"/>
        <v>139.75</v>
      </c>
    </row>
    <row r="66" spans="1:11" x14ac:dyDescent="0.25">
      <c r="A66" s="1">
        <v>45729</v>
      </c>
      <c r="B66" s="1" t="str">
        <f t="shared" ref="B66:B97" si="6">+TEXT(A66,"ddd")</f>
        <v>Thu</v>
      </c>
      <c r="C66">
        <v>22541.5</v>
      </c>
      <c r="D66">
        <v>22558.05</v>
      </c>
      <c r="E66">
        <v>22377.35</v>
      </c>
      <c r="F66">
        <v>22397.200000000001</v>
      </c>
      <c r="G66" s="2">
        <v>13.530625000000001</v>
      </c>
      <c r="H66">
        <f t="shared" ref="H66:H129" si="7">+D66-E66</f>
        <v>180.70000000000073</v>
      </c>
      <c r="I66">
        <f t="shared" ref="I66:I129" si="8">+D66-C66</f>
        <v>16.549999999999272</v>
      </c>
      <c r="J66">
        <f t="shared" ref="J66:J129" si="9">+C66-E66</f>
        <v>164.15000000000146</v>
      </c>
      <c r="K66">
        <f t="shared" ref="K66:K129" si="10">+ABS(C66-F66)</f>
        <v>144.29999999999927</v>
      </c>
    </row>
    <row r="67" spans="1:11" x14ac:dyDescent="0.25">
      <c r="A67" s="1">
        <v>45751</v>
      </c>
      <c r="B67" s="1" t="str">
        <f t="shared" si="6"/>
        <v>Fri</v>
      </c>
      <c r="C67">
        <v>23190.400000000001</v>
      </c>
      <c r="D67">
        <v>23214.7</v>
      </c>
      <c r="E67">
        <v>22857.45</v>
      </c>
      <c r="F67">
        <v>22904.45</v>
      </c>
      <c r="G67" s="2">
        <v>13.750624999999999</v>
      </c>
      <c r="H67">
        <f t="shared" si="7"/>
        <v>357.25</v>
      </c>
      <c r="I67">
        <f t="shared" si="8"/>
        <v>24.299999999999272</v>
      </c>
      <c r="J67">
        <f t="shared" si="9"/>
        <v>332.95000000000073</v>
      </c>
      <c r="K67">
        <f t="shared" si="10"/>
        <v>285.95000000000073</v>
      </c>
    </row>
    <row r="68" spans="1:11" x14ac:dyDescent="0.25">
      <c r="A68" s="1">
        <v>45754</v>
      </c>
      <c r="B68" s="1" t="str">
        <f t="shared" si="6"/>
        <v>Mon</v>
      </c>
      <c r="C68">
        <v>21758.400000000001</v>
      </c>
      <c r="D68">
        <v>22254</v>
      </c>
      <c r="E68">
        <v>21743.65</v>
      </c>
      <c r="F68">
        <v>22161.599999999999</v>
      </c>
      <c r="G68" s="2">
        <v>18.371875000000003</v>
      </c>
      <c r="H68">
        <f t="shared" si="7"/>
        <v>510.34999999999854</v>
      </c>
      <c r="I68">
        <f t="shared" si="8"/>
        <v>495.59999999999854</v>
      </c>
      <c r="J68">
        <f t="shared" si="9"/>
        <v>14.75</v>
      </c>
      <c r="K68">
        <f t="shared" si="10"/>
        <v>403.19999999999709</v>
      </c>
    </row>
    <row r="69" spans="1:11" x14ac:dyDescent="0.25">
      <c r="A69" s="1">
        <v>45755</v>
      </c>
      <c r="B69" s="1" t="str">
        <f t="shared" si="6"/>
        <v>Tue</v>
      </c>
      <c r="C69">
        <v>22446.75</v>
      </c>
      <c r="D69">
        <v>22697.200000000001</v>
      </c>
      <c r="E69">
        <v>22270.85</v>
      </c>
      <c r="F69">
        <v>22535.85</v>
      </c>
      <c r="G69" s="2">
        <v>21.351875</v>
      </c>
      <c r="H69">
        <f t="shared" si="7"/>
        <v>426.35000000000218</v>
      </c>
      <c r="I69">
        <f t="shared" si="8"/>
        <v>250.45000000000073</v>
      </c>
      <c r="J69">
        <f t="shared" si="9"/>
        <v>175.90000000000146</v>
      </c>
      <c r="K69">
        <f t="shared" si="10"/>
        <v>89.099999999998545</v>
      </c>
    </row>
    <row r="70" spans="1:11" x14ac:dyDescent="0.25">
      <c r="A70" s="1">
        <v>45756</v>
      </c>
      <c r="B70" s="1" t="str">
        <f t="shared" si="6"/>
        <v>Wed</v>
      </c>
      <c r="C70">
        <v>22460.3</v>
      </c>
      <c r="D70">
        <v>22468.7</v>
      </c>
      <c r="E70">
        <v>22353.25</v>
      </c>
      <c r="F70">
        <v>22399.15</v>
      </c>
      <c r="G70" s="2">
        <v>20.829374999999999</v>
      </c>
      <c r="H70">
        <f t="shared" si="7"/>
        <v>115.45000000000073</v>
      </c>
      <c r="I70">
        <f t="shared" si="8"/>
        <v>8.4000000000014552</v>
      </c>
      <c r="J70">
        <f t="shared" si="9"/>
        <v>107.04999999999927</v>
      </c>
      <c r="K70">
        <f t="shared" si="10"/>
        <v>61.149999999997817</v>
      </c>
    </row>
    <row r="71" spans="1:11" x14ac:dyDescent="0.25">
      <c r="A71" s="1">
        <v>45758</v>
      </c>
      <c r="B71" s="1" t="str">
        <f t="shared" si="6"/>
        <v>Fri</v>
      </c>
      <c r="C71">
        <v>22695.4</v>
      </c>
      <c r="D71">
        <v>22923.9</v>
      </c>
      <c r="E71">
        <v>22695.4</v>
      </c>
      <c r="F71">
        <v>22828.55</v>
      </c>
      <c r="G71" s="2">
        <v>20.456250000000001</v>
      </c>
      <c r="H71">
        <f t="shared" si="7"/>
        <v>228.5</v>
      </c>
      <c r="I71">
        <f t="shared" si="8"/>
        <v>228.5</v>
      </c>
      <c r="J71">
        <f t="shared" si="9"/>
        <v>0</v>
      </c>
      <c r="K71">
        <f t="shared" si="10"/>
        <v>133.14999999999782</v>
      </c>
    </row>
    <row r="72" spans="1:11" x14ac:dyDescent="0.25">
      <c r="A72" s="1">
        <v>45762</v>
      </c>
      <c r="B72" s="1" t="str">
        <f t="shared" si="6"/>
        <v>Tue</v>
      </c>
      <c r="C72">
        <v>23368.35</v>
      </c>
      <c r="D72">
        <v>23368.35</v>
      </c>
      <c r="E72">
        <v>23207</v>
      </c>
      <c r="F72">
        <v>23328.55</v>
      </c>
      <c r="G72" s="2">
        <v>18.079374999999999</v>
      </c>
      <c r="H72">
        <f t="shared" si="7"/>
        <v>161.34999999999854</v>
      </c>
      <c r="I72">
        <f t="shared" si="8"/>
        <v>0</v>
      </c>
      <c r="J72">
        <f t="shared" si="9"/>
        <v>161.34999999999854</v>
      </c>
      <c r="K72">
        <f t="shared" si="10"/>
        <v>39.799999999999272</v>
      </c>
    </row>
    <row r="73" spans="1:11" x14ac:dyDescent="0.25">
      <c r="A73" s="1">
        <v>45763</v>
      </c>
      <c r="B73" s="1" t="str">
        <f t="shared" si="6"/>
        <v>Wed</v>
      </c>
      <c r="C73">
        <v>23344.1</v>
      </c>
      <c r="D73">
        <v>23452.2</v>
      </c>
      <c r="E73">
        <v>23273.05</v>
      </c>
      <c r="F73">
        <v>23437.200000000001</v>
      </c>
      <c r="G73" s="2">
        <v>15.80875</v>
      </c>
      <c r="H73">
        <f t="shared" si="7"/>
        <v>179.15000000000146</v>
      </c>
      <c r="I73">
        <f t="shared" si="8"/>
        <v>108.10000000000218</v>
      </c>
      <c r="J73">
        <f t="shared" si="9"/>
        <v>71.049999999999272</v>
      </c>
      <c r="K73">
        <f t="shared" si="10"/>
        <v>93.100000000002183</v>
      </c>
    </row>
    <row r="74" spans="1:11" x14ac:dyDescent="0.25">
      <c r="A74" s="1">
        <v>45750</v>
      </c>
      <c r="B74" s="1" t="str">
        <f t="shared" si="6"/>
        <v>Thu</v>
      </c>
      <c r="C74">
        <v>23150.3</v>
      </c>
      <c r="D74">
        <v>23306.5</v>
      </c>
      <c r="E74">
        <v>23145.8</v>
      </c>
      <c r="F74">
        <v>23250.1</v>
      </c>
      <c r="G74" s="2">
        <v>13.709999999999999</v>
      </c>
      <c r="H74">
        <f t="shared" si="7"/>
        <v>160.70000000000073</v>
      </c>
      <c r="I74">
        <f t="shared" si="8"/>
        <v>156.20000000000073</v>
      </c>
      <c r="J74">
        <f t="shared" si="9"/>
        <v>4.5</v>
      </c>
      <c r="K74">
        <f t="shared" si="10"/>
        <v>99.799999999999272</v>
      </c>
    </row>
    <row r="75" spans="1:11" x14ac:dyDescent="0.25">
      <c r="A75" s="1">
        <v>45768</v>
      </c>
      <c r="B75" s="1" t="str">
        <f t="shared" si="6"/>
        <v>Mon</v>
      </c>
      <c r="C75">
        <v>23949.15</v>
      </c>
      <c r="D75">
        <v>24189.55</v>
      </c>
      <c r="E75">
        <v>23903.65</v>
      </c>
      <c r="F75">
        <v>24125.55</v>
      </c>
      <c r="G75" s="2">
        <v>15.384374999999999</v>
      </c>
      <c r="H75">
        <f t="shared" si="7"/>
        <v>285.89999999999782</v>
      </c>
      <c r="I75">
        <f t="shared" si="8"/>
        <v>240.39999999999782</v>
      </c>
      <c r="J75">
        <f t="shared" si="9"/>
        <v>45.5</v>
      </c>
      <c r="K75">
        <f t="shared" si="10"/>
        <v>176.39999999999782</v>
      </c>
    </row>
    <row r="76" spans="1:11" x14ac:dyDescent="0.25">
      <c r="A76" s="1">
        <v>45769</v>
      </c>
      <c r="B76" s="1" t="str">
        <f t="shared" si="6"/>
        <v>Tue</v>
      </c>
      <c r="C76">
        <v>24185.4</v>
      </c>
      <c r="D76">
        <v>24242.6</v>
      </c>
      <c r="E76">
        <v>24072</v>
      </c>
      <c r="F76">
        <v>24167.25</v>
      </c>
      <c r="G76" s="2">
        <v>15.323125000000001</v>
      </c>
      <c r="H76">
        <f t="shared" si="7"/>
        <v>170.59999999999854</v>
      </c>
      <c r="I76">
        <f t="shared" si="8"/>
        <v>57.19999999999709</v>
      </c>
      <c r="J76">
        <f t="shared" si="9"/>
        <v>113.40000000000146</v>
      </c>
      <c r="K76">
        <f t="shared" si="10"/>
        <v>18.150000000001455</v>
      </c>
    </row>
    <row r="77" spans="1:11" x14ac:dyDescent="0.25">
      <c r="A77" s="1">
        <v>45770</v>
      </c>
      <c r="B77" s="1" t="str">
        <f t="shared" si="6"/>
        <v>Wed</v>
      </c>
      <c r="C77">
        <v>24357.599999999999</v>
      </c>
      <c r="D77">
        <v>24359.3</v>
      </c>
      <c r="E77">
        <v>24119.95</v>
      </c>
      <c r="F77">
        <v>24328.95</v>
      </c>
      <c r="G77" s="2">
        <v>15.137499999999999</v>
      </c>
      <c r="H77">
        <f t="shared" si="7"/>
        <v>239.34999999999854</v>
      </c>
      <c r="I77">
        <f t="shared" si="8"/>
        <v>1.7000000000007276</v>
      </c>
      <c r="J77">
        <f t="shared" si="9"/>
        <v>237.64999999999782</v>
      </c>
      <c r="K77">
        <f t="shared" si="10"/>
        <v>28.649999999997817</v>
      </c>
    </row>
    <row r="78" spans="1:11" x14ac:dyDescent="0.25">
      <c r="A78" s="1">
        <v>45722</v>
      </c>
      <c r="B78" s="1" t="str">
        <f t="shared" si="6"/>
        <v>Thu</v>
      </c>
      <c r="C78">
        <v>22476.35</v>
      </c>
      <c r="D78">
        <v>22556.45</v>
      </c>
      <c r="E78">
        <v>22245.85</v>
      </c>
      <c r="F78">
        <v>22544.7</v>
      </c>
      <c r="G78" s="2">
        <v>13.714375</v>
      </c>
      <c r="H78">
        <f t="shared" si="7"/>
        <v>310.60000000000218</v>
      </c>
      <c r="I78">
        <f t="shared" si="8"/>
        <v>80.100000000002183</v>
      </c>
      <c r="J78">
        <f t="shared" si="9"/>
        <v>230.5</v>
      </c>
      <c r="K78">
        <f t="shared" si="10"/>
        <v>68.350000000002183</v>
      </c>
    </row>
    <row r="79" spans="1:11" x14ac:dyDescent="0.25">
      <c r="A79" s="1">
        <v>45772</v>
      </c>
      <c r="B79" s="1" t="str">
        <f t="shared" si="6"/>
        <v>Fri</v>
      </c>
      <c r="C79">
        <v>24289</v>
      </c>
      <c r="D79">
        <v>24365.45</v>
      </c>
      <c r="E79">
        <v>23847.85</v>
      </c>
      <c r="F79">
        <v>24039.35</v>
      </c>
      <c r="G79" s="2">
        <v>16.725000000000001</v>
      </c>
      <c r="H79">
        <f t="shared" si="7"/>
        <v>517.60000000000218</v>
      </c>
      <c r="I79">
        <f t="shared" si="8"/>
        <v>76.450000000000728</v>
      </c>
      <c r="J79">
        <f t="shared" si="9"/>
        <v>441.15000000000146</v>
      </c>
      <c r="K79">
        <f t="shared" si="10"/>
        <v>249.65000000000146</v>
      </c>
    </row>
    <row r="80" spans="1:11" x14ac:dyDescent="0.25">
      <c r="A80" s="1">
        <v>45775</v>
      </c>
      <c r="B80" s="1" t="str">
        <f t="shared" si="6"/>
        <v>Mon</v>
      </c>
      <c r="C80">
        <v>24070.25</v>
      </c>
      <c r="D80">
        <v>24355.1</v>
      </c>
      <c r="E80">
        <v>24054.05</v>
      </c>
      <c r="F80">
        <v>24328.5</v>
      </c>
      <c r="G80" s="2">
        <v>17.198125000000001</v>
      </c>
      <c r="H80">
        <f t="shared" si="7"/>
        <v>301.04999999999927</v>
      </c>
      <c r="I80">
        <f t="shared" si="8"/>
        <v>284.84999999999854</v>
      </c>
      <c r="J80">
        <f t="shared" si="9"/>
        <v>16.200000000000728</v>
      </c>
      <c r="K80">
        <f t="shared" si="10"/>
        <v>258.25</v>
      </c>
    </row>
    <row r="81" spans="1:11" x14ac:dyDescent="0.25">
      <c r="A81" s="1">
        <v>45776</v>
      </c>
      <c r="B81" s="1" t="str">
        <f t="shared" si="6"/>
        <v>Tue</v>
      </c>
      <c r="C81">
        <v>24370.7</v>
      </c>
      <c r="D81">
        <v>24457.65</v>
      </c>
      <c r="E81">
        <v>24290.75</v>
      </c>
      <c r="F81">
        <v>24335.95</v>
      </c>
      <c r="G81" s="2">
        <v>16.990000000000002</v>
      </c>
      <c r="H81">
        <f t="shared" si="7"/>
        <v>166.90000000000146</v>
      </c>
      <c r="I81">
        <f t="shared" si="8"/>
        <v>86.950000000000728</v>
      </c>
      <c r="J81">
        <f t="shared" si="9"/>
        <v>79.950000000000728</v>
      </c>
      <c r="K81">
        <f t="shared" si="10"/>
        <v>34.75</v>
      </c>
    </row>
    <row r="82" spans="1:11" x14ac:dyDescent="0.25">
      <c r="A82" s="1">
        <v>45777</v>
      </c>
      <c r="B82" s="1" t="str">
        <f t="shared" si="6"/>
        <v>Wed</v>
      </c>
      <c r="C82">
        <v>24342.05</v>
      </c>
      <c r="D82">
        <v>24396.15</v>
      </c>
      <c r="E82">
        <v>24198.75</v>
      </c>
      <c r="F82">
        <v>24334.2</v>
      </c>
      <c r="G82" s="2">
        <v>17.533749999999998</v>
      </c>
      <c r="H82">
        <f t="shared" si="7"/>
        <v>197.40000000000146</v>
      </c>
      <c r="I82">
        <f t="shared" si="8"/>
        <v>54.100000000002183</v>
      </c>
      <c r="J82">
        <f t="shared" si="9"/>
        <v>143.29999999999927</v>
      </c>
      <c r="K82">
        <f t="shared" si="10"/>
        <v>7.8499999999985448</v>
      </c>
    </row>
    <row r="83" spans="1:11" x14ac:dyDescent="0.25">
      <c r="A83" s="1">
        <v>45779</v>
      </c>
      <c r="B83" s="1" t="str">
        <f t="shared" si="6"/>
        <v>Fri</v>
      </c>
      <c r="C83">
        <v>24311.9</v>
      </c>
      <c r="D83">
        <v>24589.15</v>
      </c>
      <c r="E83">
        <v>24238.5</v>
      </c>
      <c r="F83">
        <v>24346.7</v>
      </c>
      <c r="G83" s="2">
        <v>18.173750000000002</v>
      </c>
      <c r="H83">
        <f t="shared" si="7"/>
        <v>350.65000000000146</v>
      </c>
      <c r="I83">
        <f t="shared" si="8"/>
        <v>277.25</v>
      </c>
      <c r="J83">
        <f t="shared" si="9"/>
        <v>73.400000000001455</v>
      </c>
      <c r="K83">
        <f t="shared" si="10"/>
        <v>34.799999999999272</v>
      </c>
    </row>
    <row r="84" spans="1:11" x14ac:dyDescent="0.25">
      <c r="A84" s="1">
        <v>45782</v>
      </c>
      <c r="B84" s="1" t="str">
        <f t="shared" si="6"/>
        <v>Mon</v>
      </c>
      <c r="C84">
        <v>24419.5</v>
      </c>
      <c r="D84">
        <v>24526.400000000001</v>
      </c>
      <c r="E84">
        <v>24400.65</v>
      </c>
      <c r="F84">
        <v>24461.15</v>
      </c>
      <c r="G84" s="2">
        <v>18.365000000000002</v>
      </c>
      <c r="H84">
        <f t="shared" si="7"/>
        <v>125.75</v>
      </c>
      <c r="I84">
        <f t="shared" si="8"/>
        <v>106.90000000000146</v>
      </c>
      <c r="J84">
        <f t="shared" si="9"/>
        <v>18.849999999998545</v>
      </c>
      <c r="K84">
        <f t="shared" si="10"/>
        <v>41.650000000001455</v>
      </c>
    </row>
    <row r="85" spans="1:11" x14ac:dyDescent="0.25">
      <c r="A85" s="1">
        <v>45783</v>
      </c>
      <c r="B85" s="1" t="str">
        <f t="shared" si="6"/>
        <v>Tue</v>
      </c>
      <c r="C85">
        <v>24500.75</v>
      </c>
      <c r="D85">
        <v>24509.65</v>
      </c>
      <c r="E85">
        <v>24331.8</v>
      </c>
      <c r="F85">
        <v>24379.599999999999</v>
      </c>
      <c r="G85" s="2">
        <v>18.656874999999999</v>
      </c>
      <c r="H85">
        <f t="shared" si="7"/>
        <v>177.85000000000218</v>
      </c>
      <c r="I85">
        <f t="shared" si="8"/>
        <v>8.9000000000014552</v>
      </c>
      <c r="J85">
        <f t="shared" si="9"/>
        <v>168.95000000000073</v>
      </c>
      <c r="K85">
        <f t="shared" si="10"/>
        <v>121.15000000000146</v>
      </c>
    </row>
    <row r="86" spans="1:11" x14ac:dyDescent="0.25">
      <c r="A86" s="1">
        <v>45784</v>
      </c>
      <c r="B86" s="1" t="str">
        <f t="shared" si="6"/>
        <v>Wed</v>
      </c>
      <c r="C86">
        <v>24233.3</v>
      </c>
      <c r="D86">
        <v>24449.599999999999</v>
      </c>
      <c r="E86">
        <v>24220</v>
      </c>
      <c r="F86">
        <v>24414.400000000001</v>
      </c>
      <c r="G86" s="2">
        <v>19.037500000000001</v>
      </c>
      <c r="H86">
        <f t="shared" si="7"/>
        <v>229.59999999999854</v>
      </c>
      <c r="I86">
        <f t="shared" si="8"/>
        <v>216.29999999999927</v>
      </c>
      <c r="J86">
        <f t="shared" si="9"/>
        <v>13.299999999999272</v>
      </c>
      <c r="K86">
        <f t="shared" si="10"/>
        <v>181.10000000000218</v>
      </c>
    </row>
    <row r="87" spans="1:11" x14ac:dyDescent="0.25">
      <c r="A87" s="1">
        <v>45820</v>
      </c>
      <c r="B87" s="1" t="str">
        <f t="shared" si="6"/>
        <v>Thu</v>
      </c>
      <c r="C87">
        <v>25164.45</v>
      </c>
      <c r="D87">
        <v>25196.2</v>
      </c>
      <c r="E87">
        <v>24825.9</v>
      </c>
      <c r="F87">
        <v>24888.2</v>
      </c>
      <c r="G87" s="2">
        <v>13.772500000000001</v>
      </c>
      <c r="H87">
        <f t="shared" si="7"/>
        <v>370.29999999999927</v>
      </c>
      <c r="I87">
        <f t="shared" si="8"/>
        <v>31.75</v>
      </c>
      <c r="J87">
        <f t="shared" si="9"/>
        <v>338.54999999999927</v>
      </c>
      <c r="K87">
        <f t="shared" si="10"/>
        <v>276.25</v>
      </c>
    </row>
    <row r="88" spans="1:11" x14ac:dyDescent="0.25">
      <c r="A88" s="1">
        <v>45786</v>
      </c>
      <c r="B88" s="1" t="str">
        <f t="shared" si="6"/>
        <v>Fri</v>
      </c>
      <c r="C88">
        <v>23935.75</v>
      </c>
      <c r="D88">
        <v>24164.25</v>
      </c>
      <c r="E88">
        <v>23935.75</v>
      </c>
      <c r="F88">
        <v>24008</v>
      </c>
      <c r="G88" s="2">
        <v>21.596874999999997</v>
      </c>
      <c r="H88">
        <f t="shared" si="7"/>
        <v>228.5</v>
      </c>
      <c r="I88">
        <f t="shared" si="8"/>
        <v>228.5</v>
      </c>
      <c r="J88">
        <f t="shared" si="9"/>
        <v>0</v>
      </c>
      <c r="K88">
        <f t="shared" si="10"/>
        <v>72.25</v>
      </c>
    </row>
    <row r="89" spans="1:11" x14ac:dyDescent="0.25">
      <c r="A89" s="1">
        <v>45789</v>
      </c>
      <c r="B89" s="1" t="str">
        <f t="shared" si="6"/>
        <v>Mon</v>
      </c>
      <c r="C89">
        <v>24420.1</v>
      </c>
      <c r="D89">
        <v>24944.799999999999</v>
      </c>
      <c r="E89">
        <v>24378.85</v>
      </c>
      <c r="F89">
        <v>24924.7</v>
      </c>
      <c r="G89" s="2">
        <v>19.715624999999999</v>
      </c>
      <c r="H89">
        <f t="shared" si="7"/>
        <v>565.95000000000073</v>
      </c>
      <c r="I89">
        <f t="shared" si="8"/>
        <v>524.70000000000073</v>
      </c>
      <c r="J89">
        <f t="shared" si="9"/>
        <v>41.25</v>
      </c>
      <c r="K89">
        <f t="shared" si="10"/>
        <v>504.60000000000218</v>
      </c>
    </row>
    <row r="90" spans="1:11" x14ac:dyDescent="0.25">
      <c r="A90" s="1">
        <v>45790</v>
      </c>
      <c r="B90" s="1" t="str">
        <f t="shared" si="6"/>
        <v>Tue</v>
      </c>
      <c r="C90">
        <v>24864.05</v>
      </c>
      <c r="D90">
        <v>24973.8</v>
      </c>
      <c r="E90">
        <v>24547.5</v>
      </c>
      <c r="F90">
        <v>24578.35</v>
      </c>
      <c r="G90" s="2">
        <v>18.346875000000001</v>
      </c>
      <c r="H90">
        <f t="shared" si="7"/>
        <v>426.29999999999927</v>
      </c>
      <c r="I90">
        <f t="shared" si="8"/>
        <v>109.75</v>
      </c>
      <c r="J90">
        <f t="shared" si="9"/>
        <v>316.54999999999927</v>
      </c>
      <c r="K90">
        <f t="shared" si="10"/>
        <v>285.70000000000073</v>
      </c>
    </row>
    <row r="91" spans="1:11" x14ac:dyDescent="0.25">
      <c r="A91" s="1">
        <v>45791</v>
      </c>
      <c r="B91" s="1" t="str">
        <f t="shared" si="6"/>
        <v>Wed</v>
      </c>
      <c r="C91">
        <v>24613.8</v>
      </c>
      <c r="D91">
        <v>24767.55</v>
      </c>
      <c r="E91">
        <v>24535.55</v>
      </c>
      <c r="F91">
        <v>24666.9</v>
      </c>
      <c r="G91" s="2">
        <v>17.938749999999999</v>
      </c>
      <c r="H91">
        <f t="shared" si="7"/>
        <v>232</v>
      </c>
      <c r="I91">
        <f t="shared" si="8"/>
        <v>153.75</v>
      </c>
      <c r="J91">
        <f t="shared" si="9"/>
        <v>78.25</v>
      </c>
      <c r="K91">
        <f t="shared" si="10"/>
        <v>53.100000000002183</v>
      </c>
    </row>
    <row r="92" spans="1:11" x14ac:dyDescent="0.25">
      <c r="A92" s="1">
        <v>45694</v>
      </c>
      <c r="B92" s="1" t="str">
        <f t="shared" si="6"/>
        <v>Thu</v>
      </c>
      <c r="C92">
        <v>23761.95</v>
      </c>
      <c r="D92">
        <v>23773.55</v>
      </c>
      <c r="E92">
        <v>23556.25</v>
      </c>
      <c r="F92">
        <v>23603.35</v>
      </c>
      <c r="G92" s="2">
        <v>14.011875</v>
      </c>
      <c r="H92">
        <f t="shared" si="7"/>
        <v>217.29999999999927</v>
      </c>
      <c r="I92">
        <f t="shared" si="8"/>
        <v>11.599999999998545</v>
      </c>
      <c r="J92">
        <f t="shared" si="9"/>
        <v>205.70000000000073</v>
      </c>
      <c r="K92">
        <f t="shared" si="10"/>
        <v>158.60000000000218</v>
      </c>
    </row>
    <row r="93" spans="1:11" x14ac:dyDescent="0.25">
      <c r="A93" s="1">
        <v>45793</v>
      </c>
      <c r="B93" s="1" t="str">
        <f t="shared" si="6"/>
        <v>Fri</v>
      </c>
      <c r="C93">
        <v>25064.65</v>
      </c>
      <c r="D93">
        <v>25070</v>
      </c>
      <c r="E93">
        <v>24953.05</v>
      </c>
      <c r="F93">
        <v>25019.8</v>
      </c>
      <c r="G93" s="2">
        <v>16.678124999999998</v>
      </c>
      <c r="H93">
        <f t="shared" si="7"/>
        <v>116.95000000000073</v>
      </c>
      <c r="I93">
        <f t="shared" si="8"/>
        <v>5.3499999999985448</v>
      </c>
      <c r="J93">
        <f t="shared" si="9"/>
        <v>111.60000000000218</v>
      </c>
      <c r="K93">
        <f t="shared" si="10"/>
        <v>44.850000000002183</v>
      </c>
    </row>
    <row r="94" spans="1:11" x14ac:dyDescent="0.25">
      <c r="A94" s="1">
        <v>45796</v>
      </c>
      <c r="B94" s="1" t="str">
        <f t="shared" si="6"/>
        <v>Mon</v>
      </c>
      <c r="C94">
        <v>25005.35</v>
      </c>
      <c r="D94">
        <v>25062.95</v>
      </c>
      <c r="E94">
        <v>24916.65</v>
      </c>
      <c r="F94">
        <v>24945.45</v>
      </c>
      <c r="G94" s="2">
        <v>16.796250000000001</v>
      </c>
      <c r="H94">
        <f t="shared" si="7"/>
        <v>146.29999999999927</v>
      </c>
      <c r="I94">
        <f t="shared" si="8"/>
        <v>57.600000000002183</v>
      </c>
      <c r="J94">
        <f t="shared" si="9"/>
        <v>88.69999999999709</v>
      </c>
      <c r="K94">
        <f t="shared" si="10"/>
        <v>59.899999999997817</v>
      </c>
    </row>
    <row r="95" spans="1:11" x14ac:dyDescent="0.25">
      <c r="A95" s="1">
        <v>45797</v>
      </c>
      <c r="B95" s="1" t="str">
        <f t="shared" si="6"/>
        <v>Tue</v>
      </c>
      <c r="C95">
        <v>24996.2</v>
      </c>
      <c r="D95">
        <v>25010.35</v>
      </c>
      <c r="E95">
        <v>24669.7</v>
      </c>
      <c r="F95">
        <v>24683.9</v>
      </c>
      <c r="G95" s="2">
        <v>17.093125000000001</v>
      </c>
      <c r="H95">
        <f t="shared" si="7"/>
        <v>340.64999999999782</v>
      </c>
      <c r="I95">
        <f t="shared" si="8"/>
        <v>14.149999999997817</v>
      </c>
      <c r="J95">
        <f t="shared" si="9"/>
        <v>326.5</v>
      </c>
      <c r="K95">
        <f t="shared" si="10"/>
        <v>312.29999999999927</v>
      </c>
    </row>
    <row r="96" spans="1:11" x14ac:dyDescent="0.25">
      <c r="A96" s="1">
        <v>45798</v>
      </c>
      <c r="B96" s="1" t="str">
        <f t="shared" si="6"/>
        <v>Wed</v>
      </c>
      <c r="C96">
        <v>24744.25</v>
      </c>
      <c r="D96">
        <v>24946.2</v>
      </c>
      <c r="E96">
        <v>24685.35</v>
      </c>
      <c r="F96">
        <v>24813.45</v>
      </c>
      <c r="G96" s="2">
        <v>17.493749999999999</v>
      </c>
      <c r="H96">
        <f t="shared" si="7"/>
        <v>260.85000000000218</v>
      </c>
      <c r="I96">
        <f t="shared" si="8"/>
        <v>201.95000000000073</v>
      </c>
      <c r="J96">
        <f t="shared" si="9"/>
        <v>58.900000000001455</v>
      </c>
      <c r="K96">
        <f t="shared" si="10"/>
        <v>69.200000000000728</v>
      </c>
    </row>
    <row r="97" spans="1:11" x14ac:dyDescent="0.25">
      <c r="A97" s="1">
        <v>45827</v>
      </c>
      <c r="B97" s="1" t="str">
        <f t="shared" si="6"/>
        <v>Thu</v>
      </c>
      <c r="C97">
        <v>24803.25</v>
      </c>
      <c r="D97">
        <v>24863.1</v>
      </c>
      <c r="E97">
        <v>24733.4</v>
      </c>
      <c r="F97">
        <v>24793.25</v>
      </c>
      <c r="G97" s="2">
        <v>14.161249999999999</v>
      </c>
      <c r="H97">
        <f t="shared" si="7"/>
        <v>129.69999999999709</v>
      </c>
      <c r="I97">
        <f t="shared" si="8"/>
        <v>59.849999999998545</v>
      </c>
      <c r="J97">
        <f t="shared" si="9"/>
        <v>69.849999999998545</v>
      </c>
      <c r="K97">
        <f t="shared" si="10"/>
        <v>10</v>
      </c>
    </row>
    <row r="98" spans="1:11" x14ac:dyDescent="0.25">
      <c r="A98" s="1">
        <v>45800</v>
      </c>
      <c r="B98" s="1" t="str">
        <f t="shared" ref="B98:B129" si="11">+TEXT(A98,"ddd")</f>
        <v>Fri</v>
      </c>
      <c r="C98">
        <v>24639.5</v>
      </c>
      <c r="D98">
        <v>24909.05</v>
      </c>
      <c r="E98">
        <v>24614.05</v>
      </c>
      <c r="F98">
        <v>24853.15</v>
      </c>
      <c r="G98" s="2">
        <v>16.88625</v>
      </c>
      <c r="H98">
        <f t="shared" si="7"/>
        <v>295</v>
      </c>
      <c r="I98">
        <f t="shared" si="8"/>
        <v>269.54999999999927</v>
      </c>
      <c r="J98">
        <f t="shared" si="9"/>
        <v>25.450000000000728</v>
      </c>
      <c r="K98">
        <f t="shared" si="10"/>
        <v>213.65000000000146</v>
      </c>
    </row>
    <row r="99" spans="1:11" x14ac:dyDescent="0.25">
      <c r="A99" s="1">
        <v>45803</v>
      </c>
      <c r="B99" s="1" t="str">
        <f t="shared" si="11"/>
        <v>Mon</v>
      </c>
      <c r="C99">
        <v>24919.35</v>
      </c>
      <c r="D99">
        <v>25079.200000000001</v>
      </c>
      <c r="E99">
        <v>24900.5</v>
      </c>
      <c r="F99">
        <v>25001.15</v>
      </c>
      <c r="G99" s="2">
        <v>17.441875</v>
      </c>
      <c r="H99">
        <f t="shared" si="7"/>
        <v>178.70000000000073</v>
      </c>
      <c r="I99">
        <f t="shared" si="8"/>
        <v>159.85000000000218</v>
      </c>
      <c r="J99">
        <f t="shared" si="9"/>
        <v>18.849999999998545</v>
      </c>
      <c r="K99">
        <f t="shared" si="10"/>
        <v>81.80000000000291</v>
      </c>
    </row>
    <row r="100" spans="1:11" x14ac:dyDescent="0.25">
      <c r="A100" s="1">
        <v>45804</v>
      </c>
      <c r="B100" s="1" t="str">
        <f t="shared" si="11"/>
        <v>Tue</v>
      </c>
      <c r="C100">
        <v>24956.65</v>
      </c>
      <c r="D100">
        <v>25062.9</v>
      </c>
      <c r="E100">
        <v>24704.1</v>
      </c>
      <c r="F100">
        <v>24826.2</v>
      </c>
      <c r="G100" s="2">
        <v>18.291249999999998</v>
      </c>
      <c r="H100">
        <f t="shared" si="7"/>
        <v>358.80000000000291</v>
      </c>
      <c r="I100">
        <f t="shared" si="8"/>
        <v>106.25</v>
      </c>
      <c r="J100">
        <f t="shared" si="9"/>
        <v>252.55000000000291</v>
      </c>
      <c r="K100">
        <f t="shared" si="10"/>
        <v>130.45000000000073</v>
      </c>
    </row>
    <row r="101" spans="1:11" x14ac:dyDescent="0.25">
      <c r="A101" s="1">
        <v>45805</v>
      </c>
      <c r="B101" s="1" t="str">
        <f t="shared" si="11"/>
        <v>Wed</v>
      </c>
      <c r="C101">
        <v>24832.5</v>
      </c>
      <c r="D101">
        <v>24864.25</v>
      </c>
      <c r="E101">
        <v>24737.05</v>
      </c>
      <c r="F101">
        <v>24752.45</v>
      </c>
      <c r="G101" s="2">
        <v>18.366250000000001</v>
      </c>
      <c r="H101">
        <f t="shared" si="7"/>
        <v>127.20000000000073</v>
      </c>
      <c r="I101">
        <f t="shared" si="8"/>
        <v>31.75</v>
      </c>
      <c r="J101">
        <f t="shared" si="9"/>
        <v>95.450000000000728</v>
      </c>
      <c r="K101">
        <f t="shared" si="10"/>
        <v>80.049999999999272</v>
      </c>
    </row>
    <row r="102" spans="1:11" x14ac:dyDescent="0.25">
      <c r="A102" s="1">
        <v>45659</v>
      </c>
      <c r="B102" s="1" t="str">
        <f t="shared" si="11"/>
        <v>Thu</v>
      </c>
      <c r="C102">
        <v>23783</v>
      </c>
      <c r="D102">
        <v>24226.7</v>
      </c>
      <c r="E102">
        <v>23751.55</v>
      </c>
      <c r="F102">
        <v>24188.65</v>
      </c>
      <c r="G102" s="2">
        <v>14.169375000000002</v>
      </c>
      <c r="H102">
        <f t="shared" si="7"/>
        <v>475.15000000000146</v>
      </c>
      <c r="I102">
        <f t="shared" si="8"/>
        <v>443.70000000000073</v>
      </c>
      <c r="J102">
        <f t="shared" si="9"/>
        <v>31.450000000000728</v>
      </c>
      <c r="K102">
        <f t="shared" si="10"/>
        <v>405.65000000000146</v>
      </c>
    </row>
    <row r="103" spans="1:11" x14ac:dyDescent="0.25">
      <c r="A103" s="1">
        <v>45807</v>
      </c>
      <c r="B103" s="1" t="str">
        <f t="shared" si="11"/>
        <v>Fri</v>
      </c>
      <c r="C103">
        <v>24812.6</v>
      </c>
      <c r="D103">
        <v>24863.95</v>
      </c>
      <c r="E103">
        <v>24717.4</v>
      </c>
      <c r="F103">
        <v>24750.7</v>
      </c>
      <c r="G103" s="2">
        <v>16.083125000000003</v>
      </c>
      <c r="H103">
        <f t="shared" si="7"/>
        <v>146.54999999999927</v>
      </c>
      <c r="I103">
        <f t="shared" si="8"/>
        <v>51.350000000002183</v>
      </c>
      <c r="J103">
        <f t="shared" si="9"/>
        <v>95.19999999999709</v>
      </c>
      <c r="K103">
        <f t="shared" si="10"/>
        <v>61.899999999997817</v>
      </c>
    </row>
    <row r="104" spans="1:11" x14ac:dyDescent="0.25">
      <c r="A104" s="1">
        <v>45810</v>
      </c>
      <c r="B104" s="1" t="str">
        <f t="shared" si="11"/>
        <v>Mon</v>
      </c>
      <c r="C104">
        <v>24669.7</v>
      </c>
      <c r="D104">
        <v>24754.400000000001</v>
      </c>
      <c r="E104">
        <v>24526.15</v>
      </c>
      <c r="F104">
        <v>24716.6</v>
      </c>
      <c r="G104" s="2">
        <v>16.760625000000001</v>
      </c>
      <c r="H104">
        <f t="shared" si="7"/>
        <v>228.25</v>
      </c>
      <c r="I104">
        <f t="shared" si="8"/>
        <v>84.700000000000728</v>
      </c>
      <c r="J104">
        <f t="shared" si="9"/>
        <v>143.54999999999927</v>
      </c>
      <c r="K104">
        <f t="shared" si="10"/>
        <v>46.899999999997817</v>
      </c>
    </row>
    <row r="105" spans="1:11" x14ac:dyDescent="0.25">
      <c r="A105" s="1">
        <v>45811</v>
      </c>
      <c r="B105" s="1" t="str">
        <f t="shared" si="11"/>
        <v>Tue</v>
      </c>
      <c r="C105">
        <v>24786.3</v>
      </c>
      <c r="D105">
        <v>24845.1</v>
      </c>
      <c r="E105">
        <v>24502.15</v>
      </c>
      <c r="F105">
        <v>24542.5</v>
      </c>
      <c r="G105" s="2">
        <v>16.925625</v>
      </c>
      <c r="H105">
        <f t="shared" si="7"/>
        <v>342.94999999999709</v>
      </c>
      <c r="I105">
        <f t="shared" si="8"/>
        <v>58.799999999999272</v>
      </c>
      <c r="J105">
        <f t="shared" si="9"/>
        <v>284.14999999999782</v>
      </c>
      <c r="K105">
        <f t="shared" si="10"/>
        <v>243.79999999999927</v>
      </c>
    </row>
    <row r="106" spans="1:11" x14ac:dyDescent="0.25">
      <c r="A106" s="1">
        <v>45812</v>
      </c>
      <c r="B106" s="1" t="str">
        <f t="shared" si="11"/>
        <v>Wed</v>
      </c>
      <c r="C106">
        <v>24560.45</v>
      </c>
      <c r="D106">
        <v>24644.25</v>
      </c>
      <c r="E106">
        <v>24530.45</v>
      </c>
      <c r="F106">
        <v>24620.2</v>
      </c>
      <c r="G106" s="2">
        <v>16.248750000000001</v>
      </c>
      <c r="H106">
        <f t="shared" si="7"/>
        <v>113.79999999999927</v>
      </c>
      <c r="I106">
        <f t="shared" si="8"/>
        <v>83.799999999999272</v>
      </c>
      <c r="J106">
        <f t="shared" si="9"/>
        <v>30</v>
      </c>
      <c r="K106">
        <f t="shared" si="10"/>
        <v>59.75</v>
      </c>
    </row>
    <row r="107" spans="1:11" x14ac:dyDescent="0.25">
      <c r="A107" s="1">
        <v>45701</v>
      </c>
      <c r="B107" s="1" t="str">
        <f t="shared" si="11"/>
        <v>Thu</v>
      </c>
      <c r="C107">
        <v>23055.75</v>
      </c>
      <c r="D107">
        <v>23235.5</v>
      </c>
      <c r="E107">
        <v>22992.2</v>
      </c>
      <c r="F107">
        <v>23031.4</v>
      </c>
      <c r="G107" s="2">
        <v>14.3775</v>
      </c>
      <c r="H107">
        <f t="shared" si="7"/>
        <v>243.29999999999927</v>
      </c>
      <c r="I107">
        <f t="shared" si="8"/>
        <v>179.75</v>
      </c>
      <c r="J107">
        <f t="shared" si="9"/>
        <v>63.549999999999272</v>
      </c>
      <c r="K107">
        <f t="shared" si="10"/>
        <v>24.349999999998545</v>
      </c>
    </row>
    <row r="108" spans="1:11" x14ac:dyDescent="0.25">
      <c r="A108" s="1">
        <v>45814</v>
      </c>
      <c r="B108" s="1" t="str">
        <f t="shared" si="11"/>
        <v>Fri</v>
      </c>
      <c r="C108">
        <v>24748.7</v>
      </c>
      <c r="D108">
        <v>25029.5</v>
      </c>
      <c r="E108">
        <v>24671.45</v>
      </c>
      <c r="F108">
        <v>25003.05</v>
      </c>
      <c r="G108" s="2">
        <v>14.922500000000001</v>
      </c>
      <c r="H108">
        <f t="shared" si="7"/>
        <v>358.04999999999927</v>
      </c>
      <c r="I108">
        <f t="shared" si="8"/>
        <v>280.79999999999927</v>
      </c>
      <c r="J108">
        <f t="shared" si="9"/>
        <v>77.25</v>
      </c>
      <c r="K108">
        <f t="shared" si="10"/>
        <v>254.34999999999854</v>
      </c>
    </row>
    <row r="109" spans="1:11" x14ac:dyDescent="0.25">
      <c r="A109" s="1">
        <v>45817</v>
      </c>
      <c r="B109" s="1" t="str">
        <f t="shared" si="11"/>
        <v>Mon</v>
      </c>
      <c r="C109">
        <v>25160.1</v>
      </c>
      <c r="D109">
        <v>25160.1</v>
      </c>
      <c r="E109">
        <v>25077.15</v>
      </c>
      <c r="F109">
        <v>25103.200000000001</v>
      </c>
      <c r="G109" s="2">
        <v>14.8675</v>
      </c>
      <c r="H109">
        <f t="shared" si="7"/>
        <v>82.94999999999709</v>
      </c>
      <c r="I109">
        <f t="shared" si="8"/>
        <v>0</v>
      </c>
      <c r="J109">
        <f t="shared" si="9"/>
        <v>82.94999999999709</v>
      </c>
      <c r="K109">
        <f t="shared" si="10"/>
        <v>56.899999999997817</v>
      </c>
    </row>
    <row r="110" spans="1:11" x14ac:dyDescent="0.25">
      <c r="A110" s="1">
        <v>45818</v>
      </c>
      <c r="B110" s="1" t="str">
        <f t="shared" si="11"/>
        <v>Tue</v>
      </c>
      <c r="C110">
        <v>25196.05</v>
      </c>
      <c r="D110">
        <v>25199.3</v>
      </c>
      <c r="E110">
        <v>25055.45</v>
      </c>
      <c r="F110">
        <v>25104.25</v>
      </c>
      <c r="G110" s="2">
        <v>14.346250000000001</v>
      </c>
      <c r="H110">
        <f t="shared" si="7"/>
        <v>143.84999999999854</v>
      </c>
      <c r="I110">
        <f t="shared" si="8"/>
        <v>3.25</v>
      </c>
      <c r="J110">
        <f t="shared" si="9"/>
        <v>140.59999999999854</v>
      </c>
      <c r="K110">
        <f t="shared" si="10"/>
        <v>91.799999999999272</v>
      </c>
    </row>
    <row r="111" spans="1:11" x14ac:dyDescent="0.25">
      <c r="A111" s="1">
        <v>45819</v>
      </c>
      <c r="B111" s="1" t="str">
        <f t="shared" si="11"/>
        <v>Wed</v>
      </c>
      <c r="C111">
        <v>25134.15</v>
      </c>
      <c r="D111">
        <v>25222.400000000001</v>
      </c>
      <c r="E111">
        <v>25081.3</v>
      </c>
      <c r="F111">
        <v>25141.4</v>
      </c>
      <c r="G111" s="2">
        <v>13.849375</v>
      </c>
      <c r="H111">
        <f t="shared" si="7"/>
        <v>141.10000000000218</v>
      </c>
      <c r="I111">
        <f t="shared" si="8"/>
        <v>88.25</v>
      </c>
      <c r="J111">
        <f t="shared" si="9"/>
        <v>52.850000000002183</v>
      </c>
      <c r="K111">
        <f t="shared" si="10"/>
        <v>7.25</v>
      </c>
    </row>
    <row r="112" spans="1:11" x14ac:dyDescent="0.25">
      <c r="A112" s="1">
        <v>45666</v>
      </c>
      <c r="B112" s="1" t="str">
        <f t="shared" si="11"/>
        <v>Thu</v>
      </c>
      <c r="C112">
        <v>23674.75</v>
      </c>
      <c r="D112">
        <v>23689.5</v>
      </c>
      <c r="E112">
        <v>23503.05</v>
      </c>
      <c r="F112">
        <v>23526.5</v>
      </c>
      <c r="G112" s="2">
        <v>14.438750000000001</v>
      </c>
      <c r="H112">
        <f t="shared" si="7"/>
        <v>186.45000000000073</v>
      </c>
      <c r="I112">
        <f t="shared" si="8"/>
        <v>14.75</v>
      </c>
      <c r="J112">
        <f t="shared" si="9"/>
        <v>171.70000000000073</v>
      </c>
      <c r="K112">
        <f t="shared" si="10"/>
        <v>148.25</v>
      </c>
    </row>
    <row r="113" spans="1:11" x14ac:dyDescent="0.25">
      <c r="A113" s="1">
        <v>45821</v>
      </c>
      <c r="B113" s="1" t="str">
        <f t="shared" si="11"/>
        <v>Fri</v>
      </c>
      <c r="C113">
        <v>24473</v>
      </c>
      <c r="D113">
        <v>24754.35</v>
      </c>
      <c r="E113">
        <v>24473</v>
      </c>
      <c r="F113">
        <v>24718.6</v>
      </c>
      <c r="G113" s="2">
        <v>14.77125</v>
      </c>
      <c r="H113">
        <f t="shared" si="7"/>
        <v>281.34999999999854</v>
      </c>
      <c r="I113">
        <f t="shared" si="8"/>
        <v>281.34999999999854</v>
      </c>
      <c r="J113">
        <f t="shared" si="9"/>
        <v>0</v>
      </c>
      <c r="K113">
        <f t="shared" si="10"/>
        <v>245.59999999999854</v>
      </c>
    </row>
    <row r="114" spans="1:11" x14ac:dyDescent="0.25">
      <c r="A114" s="1">
        <v>45824</v>
      </c>
      <c r="B114" s="1" t="str">
        <f t="shared" si="11"/>
        <v>Mon</v>
      </c>
      <c r="C114">
        <v>24732.35</v>
      </c>
      <c r="D114">
        <v>24967.1</v>
      </c>
      <c r="E114">
        <v>24703.599999999999</v>
      </c>
      <c r="F114">
        <v>24946.5</v>
      </c>
      <c r="G114" s="2">
        <v>14.986250000000002</v>
      </c>
      <c r="H114">
        <f t="shared" si="7"/>
        <v>263.5</v>
      </c>
      <c r="I114">
        <f t="shared" si="8"/>
        <v>234.75</v>
      </c>
      <c r="J114">
        <f t="shared" si="9"/>
        <v>28.75</v>
      </c>
      <c r="K114">
        <f t="shared" si="10"/>
        <v>214.15000000000146</v>
      </c>
    </row>
    <row r="115" spans="1:11" x14ac:dyDescent="0.25">
      <c r="A115" s="1">
        <v>45825</v>
      </c>
      <c r="B115" s="1" t="str">
        <f t="shared" si="11"/>
        <v>Tue</v>
      </c>
      <c r="C115">
        <v>24977.85</v>
      </c>
      <c r="D115">
        <v>24982.05</v>
      </c>
      <c r="E115">
        <v>24813.7</v>
      </c>
      <c r="F115">
        <v>24853.4</v>
      </c>
      <c r="G115" s="2">
        <v>14.639999999999999</v>
      </c>
      <c r="H115">
        <f t="shared" si="7"/>
        <v>168.34999999999854</v>
      </c>
      <c r="I115">
        <f t="shared" si="8"/>
        <v>4.2000000000007276</v>
      </c>
      <c r="J115">
        <f t="shared" si="9"/>
        <v>164.14999999999782</v>
      </c>
      <c r="K115">
        <f t="shared" si="10"/>
        <v>124.44999999999709</v>
      </c>
    </row>
    <row r="116" spans="1:11" x14ac:dyDescent="0.25">
      <c r="A116" s="1">
        <v>45826</v>
      </c>
      <c r="B116" s="1" t="str">
        <f t="shared" si="11"/>
        <v>Wed</v>
      </c>
      <c r="C116">
        <v>24788.35</v>
      </c>
      <c r="D116">
        <v>24947.55</v>
      </c>
      <c r="E116">
        <v>24750.45</v>
      </c>
      <c r="F116">
        <v>24812.05</v>
      </c>
      <c r="G116" s="2">
        <v>14.401250000000001</v>
      </c>
      <c r="H116">
        <f t="shared" si="7"/>
        <v>197.09999999999854</v>
      </c>
      <c r="I116">
        <f t="shared" si="8"/>
        <v>159.20000000000073</v>
      </c>
      <c r="J116">
        <f t="shared" si="9"/>
        <v>37.899999999997817</v>
      </c>
      <c r="K116">
        <f t="shared" si="10"/>
        <v>23.700000000000728</v>
      </c>
    </row>
    <row r="117" spans="1:11" x14ac:dyDescent="0.25">
      <c r="A117" s="1">
        <v>45673</v>
      </c>
      <c r="B117" s="1" t="str">
        <f t="shared" si="11"/>
        <v>Thu</v>
      </c>
      <c r="C117">
        <v>23377.25</v>
      </c>
      <c r="D117">
        <v>23391.65</v>
      </c>
      <c r="E117">
        <v>23272.05</v>
      </c>
      <c r="F117">
        <v>23311.8</v>
      </c>
      <c r="G117" s="2">
        <v>15.063124999999999</v>
      </c>
      <c r="H117">
        <f t="shared" si="7"/>
        <v>119.60000000000218</v>
      </c>
      <c r="I117">
        <f t="shared" si="8"/>
        <v>14.400000000001455</v>
      </c>
      <c r="J117">
        <f t="shared" si="9"/>
        <v>105.20000000000073</v>
      </c>
      <c r="K117">
        <f t="shared" si="10"/>
        <v>65.450000000000728</v>
      </c>
    </row>
    <row r="118" spans="1:11" x14ac:dyDescent="0.25">
      <c r="A118" s="1">
        <v>45828</v>
      </c>
      <c r="B118" s="1" t="str">
        <f t="shared" si="11"/>
        <v>Fri</v>
      </c>
      <c r="C118">
        <v>24787.65</v>
      </c>
      <c r="D118">
        <v>25136.2</v>
      </c>
      <c r="E118">
        <v>24783.65</v>
      </c>
      <c r="F118">
        <v>25112.400000000001</v>
      </c>
      <c r="G118" s="2">
        <v>13.875625000000001</v>
      </c>
      <c r="H118">
        <f t="shared" si="7"/>
        <v>352.54999999999927</v>
      </c>
      <c r="I118">
        <f t="shared" si="8"/>
        <v>348.54999999999927</v>
      </c>
      <c r="J118">
        <f t="shared" si="9"/>
        <v>4</v>
      </c>
      <c r="K118">
        <f t="shared" si="10"/>
        <v>324.75</v>
      </c>
    </row>
    <row r="119" spans="1:11" x14ac:dyDescent="0.25">
      <c r="A119" s="1">
        <v>45831</v>
      </c>
      <c r="B119" s="1" t="str">
        <f t="shared" si="11"/>
        <v>Mon</v>
      </c>
      <c r="C119">
        <v>24939.75</v>
      </c>
      <c r="D119">
        <v>25057</v>
      </c>
      <c r="E119">
        <v>24824.85</v>
      </c>
      <c r="F119">
        <v>24971.9</v>
      </c>
      <c r="G119" s="2">
        <v>13.976875</v>
      </c>
      <c r="H119">
        <f t="shared" si="7"/>
        <v>232.15000000000146</v>
      </c>
      <c r="I119">
        <f t="shared" si="8"/>
        <v>117.25</v>
      </c>
      <c r="J119">
        <f t="shared" si="9"/>
        <v>114.90000000000146</v>
      </c>
      <c r="K119">
        <f t="shared" si="10"/>
        <v>32.150000000001455</v>
      </c>
    </row>
    <row r="120" spans="1:11" x14ac:dyDescent="0.25">
      <c r="A120" s="1">
        <v>45832</v>
      </c>
      <c r="B120" s="1" t="str">
        <f t="shared" si="11"/>
        <v>Tue</v>
      </c>
      <c r="C120">
        <v>25179.9</v>
      </c>
      <c r="D120">
        <v>25317.7</v>
      </c>
      <c r="E120">
        <v>24999.7</v>
      </c>
      <c r="F120">
        <v>25044.35</v>
      </c>
      <c r="G120" s="2">
        <v>13.834375</v>
      </c>
      <c r="H120">
        <f t="shared" si="7"/>
        <v>318</v>
      </c>
      <c r="I120">
        <f t="shared" si="8"/>
        <v>137.79999999999927</v>
      </c>
      <c r="J120">
        <f t="shared" si="9"/>
        <v>180.20000000000073</v>
      </c>
      <c r="K120">
        <f t="shared" si="10"/>
        <v>135.55000000000291</v>
      </c>
    </row>
    <row r="121" spans="1:11" x14ac:dyDescent="0.25">
      <c r="A121" s="1">
        <v>45833</v>
      </c>
      <c r="B121" s="1" t="str">
        <f t="shared" si="11"/>
        <v>Wed</v>
      </c>
      <c r="C121">
        <v>25150.35</v>
      </c>
      <c r="D121">
        <v>25266.799999999999</v>
      </c>
      <c r="E121">
        <v>25125.05</v>
      </c>
      <c r="F121">
        <v>25244.75</v>
      </c>
      <c r="G121" s="2">
        <v>13.286250000000001</v>
      </c>
      <c r="H121">
        <f t="shared" si="7"/>
        <v>141.75</v>
      </c>
      <c r="I121">
        <f t="shared" si="8"/>
        <v>116.45000000000073</v>
      </c>
      <c r="J121">
        <f t="shared" si="9"/>
        <v>25.299999999999272</v>
      </c>
      <c r="K121">
        <f t="shared" si="10"/>
        <v>94.400000000001455</v>
      </c>
    </row>
    <row r="122" spans="1:11" x14ac:dyDescent="0.25">
      <c r="A122" s="1">
        <v>45708</v>
      </c>
      <c r="B122" s="1" t="str">
        <f t="shared" si="11"/>
        <v>Thu</v>
      </c>
      <c r="C122">
        <v>22821.1</v>
      </c>
      <c r="D122">
        <v>22923.85</v>
      </c>
      <c r="E122">
        <v>22812.75</v>
      </c>
      <c r="F122">
        <v>22913.15</v>
      </c>
      <c r="G122" s="2">
        <v>15.160624999999998</v>
      </c>
      <c r="H122">
        <f t="shared" si="7"/>
        <v>111.09999999999854</v>
      </c>
      <c r="I122">
        <f t="shared" si="8"/>
        <v>102.75</v>
      </c>
      <c r="J122">
        <f t="shared" si="9"/>
        <v>8.3499999999985448</v>
      </c>
      <c r="K122">
        <f t="shared" si="10"/>
        <v>92.05000000000291</v>
      </c>
    </row>
    <row r="123" spans="1:11" x14ac:dyDescent="0.25">
      <c r="A123" s="1">
        <v>45835</v>
      </c>
      <c r="B123" s="1" t="str">
        <f t="shared" si="11"/>
        <v>Fri</v>
      </c>
      <c r="C123">
        <v>25576.65</v>
      </c>
      <c r="D123">
        <v>25654.2</v>
      </c>
      <c r="E123">
        <v>25523.55</v>
      </c>
      <c r="F123">
        <v>25637.8</v>
      </c>
      <c r="G123" s="2">
        <v>12.55625</v>
      </c>
      <c r="H123">
        <f t="shared" si="7"/>
        <v>130.65000000000146</v>
      </c>
      <c r="I123">
        <f t="shared" si="8"/>
        <v>77.549999999999272</v>
      </c>
      <c r="J123">
        <f t="shared" si="9"/>
        <v>53.100000000002183</v>
      </c>
      <c r="K123">
        <f t="shared" si="10"/>
        <v>61.149999999997817</v>
      </c>
    </row>
    <row r="124" spans="1:11" x14ac:dyDescent="0.25">
      <c r="A124" s="1">
        <v>45838</v>
      </c>
      <c r="B124" s="1" t="str">
        <f t="shared" si="11"/>
        <v>Mon</v>
      </c>
      <c r="C124">
        <v>25661.65</v>
      </c>
      <c r="D124">
        <v>25669.35</v>
      </c>
      <c r="E124">
        <v>25473.3</v>
      </c>
      <c r="F124">
        <v>25517.05</v>
      </c>
      <c r="G124" s="2">
        <v>12.648124999999999</v>
      </c>
      <c r="H124">
        <f t="shared" si="7"/>
        <v>196.04999999999927</v>
      </c>
      <c r="I124">
        <f t="shared" si="8"/>
        <v>7.6999999999970896</v>
      </c>
      <c r="J124">
        <f t="shared" si="9"/>
        <v>188.35000000000218</v>
      </c>
      <c r="K124">
        <f t="shared" si="10"/>
        <v>144.60000000000218</v>
      </c>
    </row>
    <row r="125" spans="1:11" x14ac:dyDescent="0.25">
      <c r="A125" s="1">
        <v>45839</v>
      </c>
      <c r="B125" s="1" t="str">
        <f t="shared" si="11"/>
        <v>Tue</v>
      </c>
      <c r="C125">
        <v>25551.35</v>
      </c>
      <c r="D125">
        <v>25593.4</v>
      </c>
      <c r="E125">
        <v>25501.8</v>
      </c>
      <c r="F125">
        <v>25541.8</v>
      </c>
      <c r="G125" s="2">
        <v>12.686250000000001</v>
      </c>
      <c r="H125">
        <f t="shared" si="7"/>
        <v>91.600000000002183</v>
      </c>
      <c r="I125">
        <f t="shared" si="8"/>
        <v>42.05000000000291</v>
      </c>
      <c r="J125">
        <f t="shared" si="9"/>
        <v>49.549999999999272</v>
      </c>
      <c r="K125">
        <f t="shared" si="10"/>
        <v>9.5499999999992724</v>
      </c>
    </row>
    <row r="126" spans="1:11" x14ac:dyDescent="0.25">
      <c r="A126" s="1">
        <v>45840</v>
      </c>
      <c r="B126" s="1" t="str">
        <f t="shared" si="11"/>
        <v>Wed</v>
      </c>
      <c r="C126">
        <v>25588.3</v>
      </c>
      <c r="D126">
        <v>25608.1</v>
      </c>
      <c r="E126">
        <v>25378.75</v>
      </c>
      <c r="F126">
        <v>25453.4</v>
      </c>
      <c r="G126" s="2">
        <v>12.495000000000001</v>
      </c>
      <c r="H126">
        <f t="shared" si="7"/>
        <v>229.34999999999854</v>
      </c>
      <c r="I126">
        <f t="shared" si="8"/>
        <v>19.799999999999272</v>
      </c>
      <c r="J126">
        <f t="shared" si="9"/>
        <v>209.54999999999927</v>
      </c>
      <c r="K126">
        <f t="shared" si="10"/>
        <v>134.89999999999782</v>
      </c>
    </row>
    <row r="127" spans="1:11" x14ac:dyDescent="0.25">
      <c r="A127" s="1">
        <v>45813</v>
      </c>
      <c r="B127" s="1" t="str">
        <f t="shared" si="11"/>
        <v>Thu</v>
      </c>
      <c r="C127">
        <v>24691.200000000001</v>
      </c>
      <c r="D127">
        <v>24899.85</v>
      </c>
      <c r="E127">
        <v>24613.1</v>
      </c>
      <c r="F127">
        <v>24750.9</v>
      </c>
      <c r="G127" s="2">
        <v>15.434999999999999</v>
      </c>
      <c r="H127">
        <f t="shared" si="7"/>
        <v>286.75</v>
      </c>
      <c r="I127">
        <f t="shared" si="8"/>
        <v>208.64999999999782</v>
      </c>
      <c r="J127">
        <f t="shared" si="9"/>
        <v>78.100000000002183</v>
      </c>
      <c r="K127">
        <f t="shared" si="10"/>
        <v>59.700000000000728</v>
      </c>
    </row>
    <row r="128" spans="1:11" x14ac:dyDescent="0.25">
      <c r="A128" s="1">
        <v>45842</v>
      </c>
      <c r="B128" s="1" t="str">
        <f t="shared" si="11"/>
        <v>Fri</v>
      </c>
      <c r="C128">
        <v>25428.85</v>
      </c>
      <c r="D128">
        <v>25470.25</v>
      </c>
      <c r="E128">
        <v>25331.65</v>
      </c>
      <c r="F128">
        <v>25461</v>
      </c>
      <c r="G128" s="2">
        <v>12.410625</v>
      </c>
      <c r="H128">
        <f t="shared" si="7"/>
        <v>138.59999999999854</v>
      </c>
      <c r="I128">
        <f t="shared" si="8"/>
        <v>41.400000000001455</v>
      </c>
      <c r="J128">
        <f t="shared" si="9"/>
        <v>97.19999999999709</v>
      </c>
      <c r="K128">
        <f t="shared" si="10"/>
        <v>32.150000000001455</v>
      </c>
    </row>
    <row r="129" spans="1:11" x14ac:dyDescent="0.25">
      <c r="A129" s="1">
        <v>45845</v>
      </c>
      <c r="B129" s="1" t="str">
        <f t="shared" si="11"/>
        <v>Mon</v>
      </c>
      <c r="C129">
        <v>25450.45</v>
      </c>
      <c r="D129">
        <v>25489.8</v>
      </c>
      <c r="E129">
        <v>25407.25</v>
      </c>
      <c r="F129">
        <v>25461.3</v>
      </c>
      <c r="G129" s="2">
        <v>12.401249999999999</v>
      </c>
      <c r="H129">
        <f t="shared" si="7"/>
        <v>82.549999999999272</v>
      </c>
      <c r="I129">
        <f t="shared" si="8"/>
        <v>39.349999999998545</v>
      </c>
      <c r="J129">
        <f t="shared" si="9"/>
        <v>43.200000000000728</v>
      </c>
      <c r="K129">
        <f t="shared" si="10"/>
        <v>10.849999999998545</v>
      </c>
    </row>
    <row r="130" spans="1:11" x14ac:dyDescent="0.25">
      <c r="A130" s="1">
        <v>45846</v>
      </c>
      <c r="B130" s="1" t="str">
        <f t="shared" ref="B130:B161" si="12">+TEXT(A130,"ddd")</f>
        <v>Tue</v>
      </c>
      <c r="C130">
        <v>25427.85</v>
      </c>
      <c r="D130">
        <v>25548.05</v>
      </c>
      <c r="E130">
        <v>25424.15</v>
      </c>
      <c r="F130">
        <v>25522.5</v>
      </c>
      <c r="G130" s="2">
        <v>12.381250000000001</v>
      </c>
      <c r="H130">
        <f t="shared" ref="H130:H193" si="13">+D130-E130</f>
        <v>123.89999999999782</v>
      </c>
      <c r="I130">
        <f t="shared" ref="I130:I193" si="14">+D130-C130</f>
        <v>120.20000000000073</v>
      </c>
      <c r="J130">
        <f t="shared" ref="J130:J193" si="15">+C130-E130</f>
        <v>3.6999999999970896</v>
      </c>
      <c r="K130">
        <f t="shared" ref="K130:K193" si="16">+ABS(C130-F130)</f>
        <v>94.650000000001455</v>
      </c>
    </row>
    <row r="131" spans="1:11" x14ac:dyDescent="0.25">
      <c r="A131" s="1">
        <v>45847</v>
      </c>
      <c r="B131" s="1" t="str">
        <f t="shared" si="12"/>
        <v>Wed</v>
      </c>
      <c r="C131">
        <v>25514.6</v>
      </c>
      <c r="D131">
        <v>25548.7</v>
      </c>
      <c r="E131">
        <v>25424.35</v>
      </c>
      <c r="F131">
        <v>25476.1</v>
      </c>
      <c r="G131" s="2">
        <v>12.059999999999999</v>
      </c>
      <c r="H131">
        <f t="shared" si="13"/>
        <v>124.35000000000218</v>
      </c>
      <c r="I131">
        <f t="shared" si="14"/>
        <v>34.100000000002183</v>
      </c>
      <c r="J131">
        <f t="shared" si="15"/>
        <v>90.25</v>
      </c>
      <c r="K131">
        <f t="shared" si="16"/>
        <v>38.5</v>
      </c>
    </row>
    <row r="132" spans="1:11" x14ac:dyDescent="0.25">
      <c r="A132" s="1">
        <v>45764</v>
      </c>
      <c r="B132" s="1" t="str">
        <f t="shared" si="12"/>
        <v>Thu</v>
      </c>
      <c r="C132">
        <v>23401.85</v>
      </c>
      <c r="D132">
        <v>23872.35</v>
      </c>
      <c r="E132">
        <v>23298.55</v>
      </c>
      <c r="F132">
        <v>23851.65</v>
      </c>
      <c r="G132" s="2">
        <v>15.721875000000001</v>
      </c>
      <c r="H132">
        <f t="shared" si="13"/>
        <v>573.79999999999927</v>
      </c>
      <c r="I132">
        <f t="shared" si="14"/>
        <v>470.5</v>
      </c>
      <c r="J132">
        <f t="shared" si="15"/>
        <v>103.29999999999927</v>
      </c>
      <c r="K132">
        <f t="shared" si="16"/>
        <v>449.80000000000291</v>
      </c>
    </row>
    <row r="133" spans="1:11" x14ac:dyDescent="0.25">
      <c r="A133" s="1">
        <v>45849</v>
      </c>
      <c r="B133" s="1" t="str">
        <f t="shared" si="12"/>
        <v>Fri</v>
      </c>
      <c r="C133">
        <v>25255.5</v>
      </c>
      <c r="D133">
        <v>25322.45</v>
      </c>
      <c r="E133">
        <v>25129</v>
      </c>
      <c r="F133">
        <v>25149.85</v>
      </c>
      <c r="G133" s="2">
        <v>11.7875</v>
      </c>
      <c r="H133">
        <f t="shared" si="13"/>
        <v>193.45000000000073</v>
      </c>
      <c r="I133">
        <f t="shared" si="14"/>
        <v>66.950000000000728</v>
      </c>
      <c r="J133">
        <f t="shared" si="15"/>
        <v>126.5</v>
      </c>
      <c r="K133">
        <f t="shared" si="16"/>
        <v>105.65000000000146</v>
      </c>
    </row>
    <row r="134" spans="1:11" x14ac:dyDescent="0.25">
      <c r="A134" s="1">
        <v>45852</v>
      </c>
      <c r="B134" s="1" t="str">
        <f t="shared" si="12"/>
        <v>Mon</v>
      </c>
      <c r="C134">
        <v>25149.5</v>
      </c>
      <c r="D134">
        <v>25151.1</v>
      </c>
      <c r="E134">
        <v>25001.95</v>
      </c>
      <c r="F134">
        <v>25082.3</v>
      </c>
      <c r="G134" s="2">
        <v>12.008749999999999</v>
      </c>
      <c r="H134">
        <f t="shared" si="13"/>
        <v>149.14999999999782</v>
      </c>
      <c r="I134">
        <f t="shared" si="14"/>
        <v>1.5999999999985448</v>
      </c>
      <c r="J134">
        <f t="shared" si="15"/>
        <v>147.54999999999927</v>
      </c>
      <c r="K134">
        <f t="shared" si="16"/>
        <v>67.200000000000728</v>
      </c>
    </row>
    <row r="135" spans="1:11" x14ac:dyDescent="0.25">
      <c r="A135" s="1">
        <v>45853</v>
      </c>
      <c r="B135" s="1" t="str">
        <f t="shared" si="12"/>
        <v>Tue</v>
      </c>
      <c r="C135">
        <v>25089.5</v>
      </c>
      <c r="D135">
        <v>25245.200000000001</v>
      </c>
      <c r="E135">
        <v>25088.45</v>
      </c>
      <c r="F135">
        <v>25195.8</v>
      </c>
      <c r="G135" s="2">
        <v>11.7225</v>
      </c>
      <c r="H135">
        <f t="shared" si="13"/>
        <v>156.75</v>
      </c>
      <c r="I135">
        <f t="shared" si="14"/>
        <v>155.70000000000073</v>
      </c>
      <c r="J135">
        <f t="shared" si="15"/>
        <v>1.0499999999992724</v>
      </c>
      <c r="K135">
        <f t="shared" si="16"/>
        <v>106.29999999999927</v>
      </c>
    </row>
    <row r="136" spans="1:11" x14ac:dyDescent="0.25">
      <c r="A136" s="1">
        <v>45854</v>
      </c>
      <c r="B136" s="1" t="str">
        <f t="shared" si="12"/>
        <v>Wed</v>
      </c>
      <c r="C136">
        <v>25196.6</v>
      </c>
      <c r="D136">
        <v>25255.3</v>
      </c>
      <c r="E136">
        <v>25121.05</v>
      </c>
      <c r="F136">
        <v>25212.05</v>
      </c>
      <c r="G136" s="2">
        <v>11.39625</v>
      </c>
      <c r="H136">
        <f t="shared" si="13"/>
        <v>134.25</v>
      </c>
      <c r="I136">
        <f t="shared" si="14"/>
        <v>58.700000000000728</v>
      </c>
      <c r="J136">
        <f t="shared" si="15"/>
        <v>75.549999999999272</v>
      </c>
      <c r="K136">
        <f t="shared" si="16"/>
        <v>15.450000000000728</v>
      </c>
    </row>
    <row r="137" spans="1:11" x14ac:dyDescent="0.25">
      <c r="A137" s="1">
        <v>45771</v>
      </c>
      <c r="B137" s="1" t="str">
        <f t="shared" si="12"/>
        <v>Thu</v>
      </c>
      <c r="C137">
        <v>24277.9</v>
      </c>
      <c r="D137">
        <v>24347.85</v>
      </c>
      <c r="E137">
        <v>24216.15</v>
      </c>
      <c r="F137">
        <v>24246.7</v>
      </c>
      <c r="G137" s="2">
        <v>16.131250000000001</v>
      </c>
      <c r="H137">
        <f t="shared" si="13"/>
        <v>131.69999999999709</v>
      </c>
      <c r="I137">
        <f t="shared" si="14"/>
        <v>69.94999999999709</v>
      </c>
      <c r="J137">
        <f t="shared" si="15"/>
        <v>61.75</v>
      </c>
      <c r="K137">
        <f t="shared" si="16"/>
        <v>31.200000000000728</v>
      </c>
    </row>
    <row r="138" spans="1:11" x14ac:dyDescent="0.25">
      <c r="A138" s="1">
        <v>45856</v>
      </c>
      <c r="B138" s="1" t="str">
        <f t="shared" si="12"/>
        <v>Fri</v>
      </c>
      <c r="C138">
        <v>25108.55</v>
      </c>
      <c r="D138">
        <v>25144.6</v>
      </c>
      <c r="E138">
        <v>24918.65</v>
      </c>
      <c r="F138">
        <v>24968.400000000001</v>
      </c>
      <c r="G138" s="2">
        <v>11.098125</v>
      </c>
      <c r="H138">
        <f t="shared" si="13"/>
        <v>225.94999999999709</v>
      </c>
      <c r="I138">
        <f t="shared" si="14"/>
        <v>36.049999999999272</v>
      </c>
      <c r="J138">
        <f t="shared" si="15"/>
        <v>189.89999999999782</v>
      </c>
      <c r="K138">
        <f t="shared" si="16"/>
        <v>140.14999999999782</v>
      </c>
    </row>
    <row r="139" spans="1:11" x14ac:dyDescent="0.25">
      <c r="A139" s="1">
        <v>45859</v>
      </c>
      <c r="B139" s="1" t="str">
        <f t="shared" si="12"/>
        <v>Mon</v>
      </c>
      <c r="C139">
        <v>24999</v>
      </c>
      <c r="D139">
        <v>25111.4</v>
      </c>
      <c r="E139">
        <v>24882.3</v>
      </c>
      <c r="F139">
        <v>25090.7</v>
      </c>
      <c r="G139" s="2">
        <v>11.405625000000001</v>
      </c>
      <c r="H139">
        <f t="shared" si="13"/>
        <v>229.10000000000218</v>
      </c>
      <c r="I139">
        <f t="shared" si="14"/>
        <v>112.40000000000146</v>
      </c>
      <c r="J139">
        <f t="shared" si="15"/>
        <v>116.70000000000073</v>
      </c>
      <c r="K139">
        <f t="shared" si="16"/>
        <v>91.700000000000728</v>
      </c>
    </row>
    <row r="140" spans="1:11" x14ac:dyDescent="0.25">
      <c r="A140" s="1">
        <v>45860</v>
      </c>
      <c r="B140" s="1" t="str">
        <f t="shared" si="12"/>
        <v>Tue</v>
      </c>
      <c r="C140">
        <v>25166.65</v>
      </c>
      <c r="D140">
        <v>25182</v>
      </c>
      <c r="E140">
        <v>25035.55</v>
      </c>
      <c r="F140">
        <v>25060.9</v>
      </c>
      <c r="G140" s="2">
        <v>10.966875</v>
      </c>
      <c r="H140">
        <f t="shared" si="13"/>
        <v>146.45000000000073</v>
      </c>
      <c r="I140">
        <f t="shared" si="14"/>
        <v>15.349999999998545</v>
      </c>
      <c r="J140">
        <f t="shared" si="15"/>
        <v>131.10000000000218</v>
      </c>
      <c r="K140">
        <f t="shared" si="16"/>
        <v>105.75</v>
      </c>
    </row>
    <row r="141" spans="1:11" x14ac:dyDescent="0.25">
      <c r="A141" s="1">
        <v>45861</v>
      </c>
      <c r="B141" s="1" t="str">
        <f t="shared" si="12"/>
        <v>Wed</v>
      </c>
      <c r="C141">
        <v>25139.35</v>
      </c>
      <c r="D141">
        <v>25233.5</v>
      </c>
      <c r="E141">
        <v>25085.5</v>
      </c>
      <c r="F141">
        <v>25219.9</v>
      </c>
      <c r="G141" s="2">
        <v>10.561250000000001</v>
      </c>
      <c r="H141">
        <f t="shared" si="13"/>
        <v>148</v>
      </c>
      <c r="I141">
        <f t="shared" si="14"/>
        <v>94.150000000001455</v>
      </c>
      <c r="J141">
        <f t="shared" si="15"/>
        <v>53.849999999998545</v>
      </c>
      <c r="K141">
        <f t="shared" si="16"/>
        <v>80.55000000000291</v>
      </c>
    </row>
    <row r="142" spans="1:11" x14ac:dyDescent="0.25">
      <c r="A142" s="1">
        <v>45680</v>
      </c>
      <c r="B142" s="1" t="str">
        <f t="shared" si="12"/>
        <v>Thu</v>
      </c>
      <c r="C142">
        <v>23128.3</v>
      </c>
      <c r="D142">
        <v>23270.799999999999</v>
      </c>
      <c r="E142">
        <v>23090.65</v>
      </c>
      <c r="F142">
        <v>23205.35</v>
      </c>
      <c r="G142" s="2">
        <v>16.554375</v>
      </c>
      <c r="H142">
        <f t="shared" si="13"/>
        <v>180.14999999999782</v>
      </c>
      <c r="I142">
        <f t="shared" si="14"/>
        <v>142.5</v>
      </c>
      <c r="J142">
        <f t="shared" si="15"/>
        <v>37.649999999997817</v>
      </c>
      <c r="K142">
        <f t="shared" si="16"/>
        <v>77.049999999999272</v>
      </c>
    </row>
    <row r="143" spans="1:11" x14ac:dyDescent="0.25">
      <c r="A143" s="1">
        <v>45863</v>
      </c>
      <c r="B143" s="1" t="str">
        <f t="shared" si="12"/>
        <v>Fri</v>
      </c>
      <c r="C143">
        <v>25010.35</v>
      </c>
      <c r="D143">
        <v>25010.35</v>
      </c>
      <c r="E143">
        <v>24806.35</v>
      </c>
      <c r="F143">
        <v>24837</v>
      </c>
      <c r="G143" s="2">
        <v>11.049375000000001</v>
      </c>
      <c r="H143">
        <f t="shared" si="13"/>
        <v>204</v>
      </c>
      <c r="I143">
        <f t="shared" si="14"/>
        <v>0</v>
      </c>
      <c r="J143">
        <f t="shared" si="15"/>
        <v>204</v>
      </c>
      <c r="K143">
        <f t="shared" si="16"/>
        <v>173.34999999999854</v>
      </c>
    </row>
    <row r="144" spans="1:11" x14ac:dyDescent="0.25">
      <c r="A144" s="1">
        <v>45866</v>
      </c>
      <c r="B144" s="1" t="str">
        <f t="shared" si="12"/>
        <v>Mon</v>
      </c>
      <c r="C144">
        <v>24782.45</v>
      </c>
      <c r="D144">
        <v>24889.200000000001</v>
      </c>
      <c r="E144">
        <v>24646.6</v>
      </c>
      <c r="F144">
        <v>24680.9</v>
      </c>
      <c r="G144" s="2">
        <v>11.4725</v>
      </c>
      <c r="H144">
        <f t="shared" si="13"/>
        <v>242.60000000000218</v>
      </c>
      <c r="I144">
        <f t="shared" si="14"/>
        <v>106.75</v>
      </c>
      <c r="J144">
        <f t="shared" si="15"/>
        <v>135.85000000000218</v>
      </c>
      <c r="K144">
        <f t="shared" si="16"/>
        <v>101.54999999999927</v>
      </c>
    </row>
    <row r="145" spans="1:11" x14ac:dyDescent="0.25">
      <c r="A145" s="1">
        <v>45867</v>
      </c>
      <c r="B145" s="1" t="str">
        <f t="shared" si="12"/>
        <v>Tue</v>
      </c>
      <c r="C145">
        <v>24609.65</v>
      </c>
      <c r="D145">
        <v>24847.15</v>
      </c>
      <c r="E145">
        <v>24598.6</v>
      </c>
      <c r="F145">
        <v>24821.1</v>
      </c>
      <c r="G145" s="2">
        <v>11.823125000000001</v>
      </c>
      <c r="H145">
        <f t="shared" si="13"/>
        <v>248.55000000000291</v>
      </c>
      <c r="I145">
        <f t="shared" si="14"/>
        <v>237.5</v>
      </c>
      <c r="J145">
        <f t="shared" si="15"/>
        <v>11.05000000000291</v>
      </c>
      <c r="K145">
        <f t="shared" si="16"/>
        <v>211.44999999999709</v>
      </c>
    </row>
    <row r="146" spans="1:11" x14ac:dyDescent="0.25">
      <c r="A146" s="1">
        <v>45868</v>
      </c>
      <c r="B146" s="1" t="str">
        <f t="shared" si="12"/>
        <v>Wed</v>
      </c>
      <c r="C146">
        <v>24890.400000000001</v>
      </c>
      <c r="D146">
        <v>24902.3</v>
      </c>
      <c r="E146">
        <v>24771.95</v>
      </c>
      <c r="F146">
        <v>24855.05</v>
      </c>
      <c r="G146" s="2">
        <v>11.280625000000001</v>
      </c>
      <c r="H146">
        <f t="shared" si="13"/>
        <v>130.34999999999854</v>
      </c>
      <c r="I146">
        <f t="shared" si="14"/>
        <v>11.899999999997817</v>
      </c>
      <c r="J146">
        <f t="shared" si="15"/>
        <v>118.45000000000073</v>
      </c>
      <c r="K146">
        <f t="shared" si="16"/>
        <v>35.350000000002183</v>
      </c>
    </row>
    <row r="147" spans="1:11" x14ac:dyDescent="0.25">
      <c r="A147" s="1">
        <v>45792</v>
      </c>
      <c r="B147" s="1" t="str">
        <f t="shared" si="12"/>
        <v>Thu</v>
      </c>
      <c r="C147">
        <v>24694.45</v>
      </c>
      <c r="D147">
        <v>25116.25</v>
      </c>
      <c r="E147">
        <v>24494.45</v>
      </c>
      <c r="F147">
        <v>25062.1</v>
      </c>
      <c r="G147" s="2">
        <v>17.126874999999998</v>
      </c>
      <c r="H147">
        <f t="shared" si="13"/>
        <v>621.79999999999927</v>
      </c>
      <c r="I147">
        <f t="shared" si="14"/>
        <v>421.79999999999927</v>
      </c>
      <c r="J147">
        <f t="shared" si="15"/>
        <v>200</v>
      </c>
      <c r="K147">
        <f t="shared" si="16"/>
        <v>367.64999999999782</v>
      </c>
    </row>
    <row r="148" spans="1:11" x14ac:dyDescent="0.25">
      <c r="A148" s="1">
        <v>45870</v>
      </c>
      <c r="B148" s="1" t="str">
        <f t="shared" si="12"/>
        <v>Fri</v>
      </c>
      <c r="C148">
        <v>24734.9</v>
      </c>
      <c r="D148">
        <v>24784.15</v>
      </c>
      <c r="E148">
        <v>24535.05</v>
      </c>
      <c r="F148">
        <v>24565.35</v>
      </c>
      <c r="G148" s="2">
        <v>11.758749999999999</v>
      </c>
      <c r="H148">
        <f t="shared" si="13"/>
        <v>249.10000000000218</v>
      </c>
      <c r="I148">
        <f t="shared" si="14"/>
        <v>49.25</v>
      </c>
      <c r="J148">
        <f t="shared" si="15"/>
        <v>199.85000000000218</v>
      </c>
      <c r="K148">
        <f t="shared" si="16"/>
        <v>169.55000000000291</v>
      </c>
    </row>
    <row r="149" spans="1:11" x14ac:dyDescent="0.25">
      <c r="A149" s="1">
        <v>45873</v>
      </c>
      <c r="B149" s="1" t="str">
        <f t="shared" si="12"/>
        <v>Mon</v>
      </c>
      <c r="C149">
        <v>24596.05</v>
      </c>
      <c r="D149">
        <v>24736.25</v>
      </c>
      <c r="E149">
        <v>24554</v>
      </c>
      <c r="F149">
        <v>24722.75</v>
      </c>
      <c r="G149" s="2">
        <v>12.094374999999999</v>
      </c>
      <c r="H149">
        <f t="shared" si="13"/>
        <v>182.25</v>
      </c>
      <c r="I149">
        <f t="shared" si="14"/>
        <v>140.20000000000073</v>
      </c>
      <c r="J149">
        <f t="shared" si="15"/>
        <v>42.049999999999272</v>
      </c>
      <c r="K149">
        <f t="shared" si="16"/>
        <v>126.70000000000073</v>
      </c>
    </row>
    <row r="150" spans="1:11" x14ac:dyDescent="0.25">
      <c r="A150" s="1">
        <v>45874</v>
      </c>
      <c r="B150" s="1" t="str">
        <f t="shared" si="12"/>
        <v>Tue</v>
      </c>
      <c r="C150">
        <v>24720.25</v>
      </c>
      <c r="D150">
        <v>24733.1</v>
      </c>
      <c r="E150">
        <v>24590.3</v>
      </c>
      <c r="F150">
        <v>24649.55</v>
      </c>
      <c r="G150" s="2">
        <v>11.873749999999999</v>
      </c>
      <c r="H150">
        <f t="shared" si="13"/>
        <v>142.79999999999927</v>
      </c>
      <c r="I150">
        <f t="shared" si="14"/>
        <v>12.849999999998545</v>
      </c>
      <c r="J150">
        <f t="shared" si="15"/>
        <v>129.95000000000073</v>
      </c>
      <c r="K150">
        <f t="shared" si="16"/>
        <v>70.700000000000728</v>
      </c>
    </row>
    <row r="151" spans="1:11" x14ac:dyDescent="0.25">
      <c r="A151" s="1">
        <v>45875</v>
      </c>
      <c r="B151" s="1" t="str">
        <f t="shared" si="12"/>
        <v>Wed</v>
      </c>
      <c r="C151">
        <v>24641.35</v>
      </c>
      <c r="D151">
        <v>24671.4</v>
      </c>
      <c r="E151">
        <v>24539.200000000001</v>
      </c>
      <c r="F151">
        <v>24574.2</v>
      </c>
      <c r="G151" s="2">
        <v>11.594374999999999</v>
      </c>
      <c r="H151">
        <f t="shared" si="13"/>
        <v>132.20000000000073</v>
      </c>
      <c r="I151">
        <f t="shared" si="14"/>
        <v>30.05000000000291</v>
      </c>
      <c r="J151">
        <f t="shared" si="15"/>
        <v>102.14999999999782</v>
      </c>
      <c r="K151">
        <f t="shared" si="16"/>
        <v>67.149999999997817</v>
      </c>
    </row>
    <row r="152" spans="1:11" x14ac:dyDescent="0.25">
      <c r="A152" s="1">
        <v>45806</v>
      </c>
      <c r="B152" s="1" t="str">
        <f t="shared" si="12"/>
        <v>Thu</v>
      </c>
      <c r="C152">
        <v>24825.1</v>
      </c>
      <c r="D152">
        <v>24892.6</v>
      </c>
      <c r="E152">
        <v>24677.3</v>
      </c>
      <c r="F152">
        <v>24833.599999999999</v>
      </c>
      <c r="G152" s="2">
        <v>17.165624999999999</v>
      </c>
      <c r="H152">
        <f t="shared" si="13"/>
        <v>215.29999999999927</v>
      </c>
      <c r="I152">
        <f t="shared" si="14"/>
        <v>67.5</v>
      </c>
      <c r="J152">
        <f t="shared" si="15"/>
        <v>147.79999999999927</v>
      </c>
      <c r="K152">
        <f t="shared" si="16"/>
        <v>8.5</v>
      </c>
    </row>
    <row r="153" spans="1:11" x14ac:dyDescent="0.25">
      <c r="A153" s="1">
        <v>45877</v>
      </c>
      <c r="B153" s="1" t="str">
        <f t="shared" si="12"/>
        <v>Fri</v>
      </c>
      <c r="C153">
        <v>24544.25</v>
      </c>
      <c r="D153">
        <v>24585.5</v>
      </c>
      <c r="E153">
        <v>24337.5</v>
      </c>
      <c r="F153">
        <v>24363.3</v>
      </c>
      <c r="G153" s="2">
        <v>11.703125</v>
      </c>
      <c r="H153">
        <f t="shared" si="13"/>
        <v>248</v>
      </c>
      <c r="I153">
        <f t="shared" si="14"/>
        <v>41.25</v>
      </c>
      <c r="J153">
        <f t="shared" si="15"/>
        <v>206.75</v>
      </c>
      <c r="K153">
        <f t="shared" si="16"/>
        <v>180.95000000000073</v>
      </c>
    </row>
    <row r="154" spans="1:11" x14ac:dyDescent="0.25">
      <c r="A154" s="1">
        <v>45880</v>
      </c>
      <c r="B154" s="1" t="str">
        <f t="shared" si="12"/>
        <v>Mon</v>
      </c>
      <c r="C154">
        <v>24371.5</v>
      </c>
      <c r="D154">
        <v>24600.85</v>
      </c>
      <c r="E154">
        <v>24347.45</v>
      </c>
      <c r="F154">
        <v>24585.05</v>
      </c>
      <c r="G154" s="2">
        <v>12.25375</v>
      </c>
      <c r="H154">
        <f t="shared" si="13"/>
        <v>253.39999999999782</v>
      </c>
      <c r="I154">
        <f t="shared" si="14"/>
        <v>229.34999999999854</v>
      </c>
      <c r="J154">
        <f t="shared" si="15"/>
        <v>24.049999999999272</v>
      </c>
      <c r="K154">
        <f t="shared" si="16"/>
        <v>213.54999999999927</v>
      </c>
    </row>
    <row r="155" spans="1:11" x14ac:dyDescent="0.25">
      <c r="A155" s="1">
        <v>45881</v>
      </c>
      <c r="B155" s="1" t="str">
        <f t="shared" si="12"/>
        <v>Tue</v>
      </c>
      <c r="C155">
        <v>24563.35</v>
      </c>
      <c r="D155">
        <v>24702.6</v>
      </c>
      <c r="E155">
        <v>24465.65</v>
      </c>
      <c r="F155">
        <v>24487.4</v>
      </c>
      <c r="G155" s="2">
        <v>12.116250000000001</v>
      </c>
      <c r="H155">
        <f t="shared" si="13"/>
        <v>236.94999999999709</v>
      </c>
      <c r="I155">
        <f t="shared" si="14"/>
        <v>139.25</v>
      </c>
      <c r="J155">
        <f t="shared" si="15"/>
        <v>97.69999999999709</v>
      </c>
      <c r="K155">
        <f t="shared" si="16"/>
        <v>75.94999999999709</v>
      </c>
    </row>
    <row r="156" spans="1:11" x14ac:dyDescent="0.25">
      <c r="A156" s="1">
        <v>45882</v>
      </c>
      <c r="B156" s="1" t="str">
        <f t="shared" si="12"/>
        <v>Wed</v>
      </c>
      <c r="C156">
        <v>24586.2</v>
      </c>
      <c r="D156">
        <v>24664.55</v>
      </c>
      <c r="E156">
        <v>24535.25</v>
      </c>
      <c r="F156">
        <v>24619.35</v>
      </c>
      <c r="G156" s="2">
        <v>11.875624999999999</v>
      </c>
      <c r="H156">
        <f t="shared" si="13"/>
        <v>129.29999999999927</v>
      </c>
      <c r="I156">
        <f t="shared" si="14"/>
        <v>78.349999999998545</v>
      </c>
      <c r="J156">
        <f t="shared" si="15"/>
        <v>50.950000000000728</v>
      </c>
      <c r="K156">
        <f t="shared" si="16"/>
        <v>33.149999999997817</v>
      </c>
    </row>
    <row r="157" spans="1:11" x14ac:dyDescent="0.25">
      <c r="A157" s="1">
        <v>45799</v>
      </c>
      <c r="B157" s="1" t="str">
        <f t="shared" si="12"/>
        <v>Thu</v>
      </c>
      <c r="C157">
        <v>24733.95</v>
      </c>
      <c r="D157">
        <v>24737.5</v>
      </c>
      <c r="E157">
        <v>24462.400000000001</v>
      </c>
      <c r="F157">
        <v>24609.7</v>
      </c>
      <c r="G157" s="2">
        <v>17.428750000000001</v>
      </c>
      <c r="H157">
        <f t="shared" si="13"/>
        <v>275.09999999999854</v>
      </c>
      <c r="I157">
        <f t="shared" si="14"/>
        <v>3.5499999999992724</v>
      </c>
      <c r="J157">
        <f t="shared" si="15"/>
        <v>271.54999999999927</v>
      </c>
      <c r="K157">
        <f t="shared" si="16"/>
        <v>124.25</v>
      </c>
    </row>
    <row r="158" spans="1:11" x14ac:dyDescent="0.25">
      <c r="A158" s="1">
        <v>45887</v>
      </c>
      <c r="B158" s="1" t="str">
        <f t="shared" si="12"/>
        <v>Mon</v>
      </c>
      <c r="C158">
        <v>24938.2</v>
      </c>
      <c r="D158">
        <v>25022</v>
      </c>
      <c r="E158">
        <v>24852.85</v>
      </c>
      <c r="F158">
        <v>24876.95</v>
      </c>
      <c r="G158" s="2">
        <v>12.477499999999999</v>
      </c>
      <c r="H158">
        <f t="shared" si="13"/>
        <v>169.15000000000146</v>
      </c>
      <c r="I158">
        <f t="shared" si="14"/>
        <v>83.799999999999272</v>
      </c>
      <c r="J158">
        <f t="shared" si="15"/>
        <v>85.350000000002183</v>
      </c>
      <c r="K158">
        <f t="shared" si="16"/>
        <v>61.25</v>
      </c>
    </row>
    <row r="159" spans="1:11" x14ac:dyDescent="0.25">
      <c r="A159" s="1">
        <v>45888</v>
      </c>
      <c r="B159" s="1" t="str">
        <f t="shared" si="12"/>
        <v>Tue</v>
      </c>
      <c r="C159">
        <v>24891.35</v>
      </c>
      <c r="D159">
        <v>25012.65</v>
      </c>
      <c r="E159">
        <v>24873.95</v>
      </c>
      <c r="F159">
        <v>24980.65</v>
      </c>
      <c r="G159" s="2">
        <v>12.057499999999999</v>
      </c>
      <c r="H159">
        <f t="shared" si="13"/>
        <v>138.70000000000073</v>
      </c>
      <c r="I159">
        <f t="shared" si="14"/>
        <v>121.30000000000291</v>
      </c>
      <c r="J159">
        <f t="shared" si="15"/>
        <v>17.399999999997817</v>
      </c>
      <c r="K159">
        <f t="shared" si="16"/>
        <v>89.30000000000291</v>
      </c>
    </row>
    <row r="160" spans="1:11" x14ac:dyDescent="0.25">
      <c r="A160" s="1">
        <v>45889</v>
      </c>
      <c r="B160" s="1" t="str">
        <f t="shared" si="12"/>
        <v>Wed</v>
      </c>
      <c r="C160">
        <v>24965.8</v>
      </c>
      <c r="D160">
        <v>25088.7</v>
      </c>
      <c r="E160">
        <v>24929.7</v>
      </c>
      <c r="F160">
        <v>25050.55</v>
      </c>
      <c r="G160" s="2">
        <v>11.438750000000001</v>
      </c>
      <c r="H160">
        <f t="shared" si="13"/>
        <v>159</v>
      </c>
      <c r="I160">
        <f t="shared" si="14"/>
        <v>122.90000000000146</v>
      </c>
      <c r="J160">
        <f t="shared" si="15"/>
        <v>36.099999999998545</v>
      </c>
      <c r="K160">
        <f t="shared" si="16"/>
        <v>84.75</v>
      </c>
    </row>
    <row r="161" spans="1:11" x14ac:dyDescent="0.25">
      <c r="A161" s="1">
        <v>45687</v>
      </c>
      <c r="B161" s="1" t="str">
        <f t="shared" si="12"/>
        <v>Thu</v>
      </c>
      <c r="C161">
        <v>23169.5</v>
      </c>
      <c r="D161">
        <v>23322.05</v>
      </c>
      <c r="E161">
        <v>23139.200000000001</v>
      </c>
      <c r="F161">
        <v>23249.5</v>
      </c>
      <c r="G161" s="2">
        <v>18.058125</v>
      </c>
      <c r="H161">
        <f t="shared" si="13"/>
        <v>182.84999999999854</v>
      </c>
      <c r="I161">
        <f t="shared" si="14"/>
        <v>152.54999999999927</v>
      </c>
      <c r="J161">
        <f t="shared" si="15"/>
        <v>30.299999999999272</v>
      </c>
      <c r="K161">
        <f t="shared" si="16"/>
        <v>80</v>
      </c>
    </row>
    <row r="162" spans="1:11" x14ac:dyDescent="0.25">
      <c r="A162" s="1">
        <v>45891</v>
      </c>
      <c r="B162" s="1" t="str">
        <f t="shared" ref="B162:B165" si="17">+TEXT(A162,"ddd")</f>
        <v>Fri</v>
      </c>
      <c r="C162">
        <v>25064.15</v>
      </c>
      <c r="D162">
        <v>25084.85</v>
      </c>
      <c r="E162">
        <v>24859.15</v>
      </c>
      <c r="F162">
        <v>24870.1</v>
      </c>
      <c r="G162" s="2">
        <v>11.395624999999999</v>
      </c>
      <c r="H162">
        <f t="shared" si="13"/>
        <v>225.69999999999709</v>
      </c>
      <c r="I162">
        <f t="shared" si="14"/>
        <v>20.69999999999709</v>
      </c>
      <c r="J162">
        <f t="shared" si="15"/>
        <v>205</v>
      </c>
      <c r="K162">
        <f t="shared" si="16"/>
        <v>194.05000000000291</v>
      </c>
    </row>
    <row r="163" spans="1:11" x14ac:dyDescent="0.25">
      <c r="A163" s="1">
        <v>45894</v>
      </c>
      <c r="B163" s="1" t="str">
        <f t="shared" si="17"/>
        <v>Mon</v>
      </c>
      <c r="C163">
        <v>24949.15</v>
      </c>
      <c r="D163">
        <v>25021.55</v>
      </c>
      <c r="E163">
        <v>24894.35</v>
      </c>
      <c r="F163">
        <v>24967.75</v>
      </c>
      <c r="G163" s="2">
        <v>11.844999999999999</v>
      </c>
      <c r="H163">
        <f t="shared" si="13"/>
        <v>127.20000000000073</v>
      </c>
      <c r="I163">
        <f t="shared" si="14"/>
        <v>72.399999999997817</v>
      </c>
      <c r="J163">
        <f t="shared" si="15"/>
        <v>54.80000000000291</v>
      </c>
      <c r="K163">
        <f t="shared" si="16"/>
        <v>18.599999999998545</v>
      </c>
    </row>
    <row r="164" spans="1:11" x14ac:dyDescent="0.25">
      <c r="A164" s="1">
        <v>45895</v>
      </c>
      <c r="B164" s="1" t="str">
        <f t="shared" si="17"/>
        <v>Tue</v>
      </c>
      <c r="C164">
        <v>24899.5</v>
      </c>
      <c r="D164">
        <v>24919.65</v>
      </c>
      <c r="E164">
        <v>24689.599999999999</v>
      </c>
      <c r="F164">
        <v>24712.05</v>
      </c>
      <c r="G164" s="2">
        <v>11.855625</v>
      </c>
      <c r="H164">
        <f t="shared" si="13"/>
        <v>230.05000000000291</v>
      </c>
      <c r="I164">
        <f t="shared" si="14"/>
        <v>20.150000000001455</v>
      </c>
      <c r="J164">
        <f t="shared" si="15"/>
        <v>209.90000000000146</v>
      </c>
      <c r="K164">
        <f t="shared" si="16"/>
        <v>187.45000000000073</v>
      </c>
    </row>
    <row r="165" spans="1:11" x14ac:dyDescent="0.25">
      <c r="A165" s="1">
        <v>45785</v>
      </c>
      <c r="B165" s="1" t="str">
        <f t="shared" si="17"/>
        <v>Thu</v>
      </c>
      <c r="C165">
        <v>24431.5</v>
      </c>
      <c r="D165">
        <v>24447.25</v>
      </c>
      <c r="E165">
        <v>24150.2</v>
      </c>
      <c r="F165">
        <v>24273.8</v>
      </c>
      <c r="G165" s="2">
        <v>20.028750000000002</v>
      </c>
      <c r="H165">
        <f t="shared" si="13"/>
        <v>297.04999999999927</v>
      </c>
      <c r="I165">
        <f t="shared" si="14"/>
        <v>15.75</v>
      </c>
      <c r="J165">
        <f t="shared" si="15"/>
        <v>281.29999999999927</v>
      </c>
      <c r="K165">
        <f t="shared" si="16"/>
        <v>157.70000000000073</v>
      </c>
    </row>
    <row r="166" spans="1:11" x14ac:dyDescent="0.25">
      <c r="A166" s="1">
        <v>45898</v>
      </c>
      <c r="B166" s="1" t="str">
        <f t="shared" ref="B166" si="18">+TEXT(A166,"ddd")</f>
        <v>Fri</v>
      </c>
      <c r="C166">
        <v>24466.7</v>
      </c>
      <c r="D166">
        <v>24572.45</v>
      </c>
      <c r="E166">
        <v>24404.7</v>
      </c>
      <c r="F166">
        <v>24426.85</v>
      </c>
      <c r="G166" s="2">
        <v>11.930625000000001</v>
      </c>
      <c r="H166">
        <f t="shared" si="13"/>
        <v>167.75</v>
      </c>
      <c r="I166">
        <f t="shared" si="14"/>
        <v>105.75</v>
      </c>
      <c r="J166">
        <f t="shared" si="15"/>
        <v>62</v>
      </c>
      <c r="K166">
        <f t="shared" si="16"/>
        <v>39.850000000002183</v>
      </c>
    </row>
    <row r="167" spans="1:11" x14ac:dyDescent="0.25">
      <c r="A167" s="1">
        <v>45901</v>
      </c>
      <c r="B167" s="1" t="str">
        <f t="shared" ref="B167:B198" si="19">+TEXT(A167,"ddd")</f>
        <v>Mon</v>
      </c>
      <c r="C167">
        <v>24432.7</v>
      </c>
      <c r="D167">
        <v>24635.599999999999</v>
      </c>
      <c r="E167">
        <v>24432.7</v>
      </c>
      <c r="F167">
        <v>24625.05</v>
      </c>
      <c r="G167" s="2">
        <v>11.618124999999999</v>
      </c>
      <c r="H167">
        <f t="shared" si="13"/>
        <v>202.89999999999782</v>
      </c>
      <c r="I167">
        <f t="shared" si="14"/>
        <v>202.89999999999782</v>
      </c>
      <c r="J167">
        <f t="shared" si="15"/>
        <v>0</v>
      </c>
      <c r="K167">
        <f t="shared" si="16"/>
        <v>192.34999999999854</v>
      </c>
    </row>
    <row r="168" spans="1:11" x14ac:dyDescent="0.25">
      <c r="A168" s="1">
        <v>45902</v>
      </c>
      <c r="B168" s="1" t="str">
        <f t="shared" si="19"/>
        <v>Tue</v>
      </c>
      <c r="C168">
        <v>24653</v>
      </c>
      <c r="D168">
        <v>24756.1</v>
      </c>
      <c r="E168">
        <v>24522.35</v>
      </c>
      <c r="F168">
        <v>24579.599999999999</v>
      </c>
      <c r="G168" s="2">
        <v>11.313750000000001</v>
      </c>
      <c r="H168">
        <f t="shared" si="13"/>
        <v>233.75</v>
      </c>
      <c r="I168">
        <f t="shared" si="14"/>
        <v>103.09999999999854</v>
      </c>
      <c r="J168">
        <f t="shared" si="15"/>
        <v>130.65000000000146</v>
      </c>
      <c r="K168">
        <f t="shared" si="16"/>
        <v>73.400000000001455</v>
      </c>
    </row>
    <row r="169" spans="1:11" x14ac:dyDescent="0.25">
      <c r="A169" s="1">
        <v>45903</v>
      </c>
      <c r="B169" s="1" t="str">
        <f t="shared" si="19"/>
        <v>Wed</v>
      </c>
      <c r="C169">
        <v>24616.5</v>
      </c>
      <c r="D169">
        <v>24737.05</v>
      </c>
      <c r="E169">
        <v>24533.200000000001</v>
      </c>
      <c r="F169">
        <v>24715.05</v>
      </c>
      <c r="G169" s="2">
        <v>11.189375</v>
      </c>
      <c r="H169">
        <f t="shared" si="13"/>
        <v>203.84999999999854</v>
      </c>
      <c r="I169">
        <f t="shared" si="14"/>
        <v>120.54999999999927</v>
      </c>
      <c r="J169">
        <f t="shared" si="15"/>
        <v>83.299999999999272</v>
      </c>
      <c r="K169">
        <f t="shared" si="16"/>
        <v>98.549999999999272</v>
      </c>
    </row>
    <row r="170" spans="1:11" x14ac:dyDescent="0.25">
      <c r="A170" s="1">
        <v>45904</v>
      </c>
      <c r="B170" s="1" t="str">
        <f t="shared" si="19"/>
        <v>Thu</v>
      </c>
      <c r="C170">
        <v>24980.75</v>
      </c>
      <c r="D170">
        <v>24980.75</v>
      </c>
      <c r="E170">
        <v>24708.2</v>
      </c>
      <c r="F170">
        <v>24734.3</v>
      </c>
      <c r="G170" s="2">
        <v>10.8775</v>
      </c>
      <c r="H170">
        <f t="shared" si="13"/>
        <v>272.54999999999927</v>
      </c>
      <c r="I170">
        <f t="shared" si="14"/>
        <v>0</v>
      </c>
      <c r="J170">
        <f t="shared" si="15"/>
        <v>272.54999999999927</v>
      </c>
      <c r="K170">
        <f t="shared" si="16"/>
        <v>246.45000000000073</v>
      </c>
    </row>
    <row r="171" spans="1:11" x14ac:dyDescent="0.25">
      <c r="A171" s="1">
        <v>45905</v>
      </c>
      <c r="B171" s="1" t="str">
        <f t="shared" si="19"/>
        <v>Fri</v>
      </c>
      <c r="C171">
        <v>24818.85</v>
      </c>
      <c r="D171">
        <v>24832.35</v>
      </c>
      <c r="E171">
        <v>24621.599999999999</v>
      </c>
      <c r="F171">
        <v>24741</v>
      </c>
      <c r="G171" s="2">
        <v>10.755000000000001</v>
      </c>
      <c r="H171">
        <f t="shared" si="13"/>
        <v>210.75</v>
      </c>
      <c r="I171">
        <f t="shared" si="14"/>
        <v>13.5</v>
      </c>
      <c r="J171">
        <f t="shared" si="15"/>
        <v>197.25</v>
      </c>
      <c r="K171">
        <f t="shared" si="16"/>
        <v>77.849999999998545</v>
      </c>
    </row>
    <row r="172" spans="1:11" x14ac:dyDescent="0.25">
      <c r="A172" s="1">
        <v>45908</v>
      </c>
      <c r="B172" s="1" t="str">
        <f t="shared" si="19"/>
        <v>Mon</v>
      </c>
      <c r="C172">
        <v>24802.6</v>
      </c>
      <c r="D172">
        <v>24885.5</v>
      </c>
      <c r="E172">
        <v>24751.55</v>
      </c>
      <c r="F172">
        <v>24773.15</v>
      </c>
      <c r="G172" s="2">
        <v>10.780625000000001</v>
      </c>
      <c r="H172">
        <f t="shared" si="13"/>
        <v>133.95000000000073</v>
      </c>
      <c r="I172">
        <f t="shared" si="14"/>
        <v>82.900000000001455</v>
      </c>
      <c r="J172">
        <f t="shared" si="15"/>
        <v>51.049999999999272</v>
      </c>
      <c r="K172">
        <f t="shared" si="16"/>
        <v>29.44999999999709</v>
      </c>
    </row>
    <row r="173" spans="1:11" x14ac:dyDescent="0.25">
      <c r="A173" s="1">
        <v>45909</v>
      </c>
      <c r="B173" s="1" t="str">
        <f t="shared" si="19"/>
        <v>Tue</v>
      </c>
      <c r="C173">
        <v>24864.1</v>
      </c>
      <c r="D173">
        <v>24891.8</v>
      </c>
      <c r="E173">
        <v>24814</v>
      </c>
      <c r="F173">
        <v>24868.6</v>
      </c>
      <c r="G173" s="2">
        <v>10.7075</v>
      </c>
      <c r="H173">
        <f t="shared" si="13"/>
        <v>77.799999999999272</v>
      </c>
      <c r="I173">
        <f t="shared" si="14"/>
        <v>27.700000000000728</v>
      </c>
      <c r="J173">
        <f t="shared" si="15"/>
        <v>50.099999999998545</v>
      </c>
      <c r="K173">
        <f t="shared" si="16"/>
        <v>4.5</v>
      </c>
    </row>
    <row r="174" spans="1:11" x14ac:dyDescent="0.25">
      <c r="A174" s="1">
        <v>45910</v>
      </c>
      <c r="B174" s="1" t="str">
        <f t="shared" si="19"/>
        <v>Wed</v>
      </c>
      <c r="C174">
        <v>24991</v>
      </c>
      <c r="D174">
        <v>25035.7</v>
      </c>
      <c r="E174">
        <v>24915.05</v>
      </c>
      <c r="F174">
        <v>24973.1</v>
      </c>
      <c r="G174" s="2">
        <v>10.578125</v>
      </c>
      <c r="H174">
        <f t="shared" si="13"/>
        <v>120.65000000000146</v>
      </c>
      <c r="I174">
        <f t="shared" si="14"/>
        <v>44.700000000000728</v>
      </c>
      <c r="J174">
        <f t="shared" si="15"/>
        <v>75.950000000000728</v>
      </c>
      <c r="K174">
        <f t="shared" si="16"/>
        <v>17.900000000001455</v>
      </c>
    </row>
    <row r="175" spans="1:11" x14ac:dyDescent="0.25">
      <c r="A175" s="1">
        <v>45911</v>
      </c>
      <c r="B175" s="1" t="str">
        <f t="shared" si="19"/>
        <v>Thu</v>
      </c>
      <c r="C175">
        <v>24945.5</v>
      </c>
      <c r="D175">
        <v>25037.3</v>
      </c>
      <c r="E175">
        <v>24940.15</v>
      </c>
      <c r="F175">
        <v>25005.5</v>
      </c>
      <c r="G175" s="2">
        <v>10.464374999999999</v>
      </c>
      <c r="H175">
        <f t="shared" si="13"/>
        <v>97.149999999997817</v>
      </c>
      <c r="I175">
        <f t="shared" si="14"/>
        <v>91.799999999999272</v>
      </c>
      <c r="J175">
        <f t="shared" si="15"/>
        <v>5.3499999999985448</v>
      </c>
      <c r="K175">
        <f t="shared" si="16"/>
        <v>60</v>
      </c>
    </row>
    <row r="176" spans="1:11" x14ac:dyDescent="0.25">
      <c r="A176" s="1">
        <v>45912</v>
      </c>
      <c r="B176" s="1" t="str">
        <f t="shared" si="19"/>
        <v>Fri</v>
      </c>
      <c r="C176">
        <v>25074.45</v>
      </c>
      <c r="D176">
        <v>25139.45</v>
      </c>
      <c r="E176">
        <v>25038.05</v>
      </c>
      <c r="F176">
        <v>25114</v>
      </c>
      <c r="G176" s="2">
        <v>10.172499999999999</v>
      </c>
      <c r="H176">
        <f t="shared" si="13"/>
        <v>101.40000000000146</v>
      </c>
      <c r="I176">
        <f t="shared" si="14"/>
        <v>65</v>
      </c>
      <c r="J176">
        <f t="shared" si="15"/>
        <v>36.400000000001455</v>
      </c>
      <c r="K176">
        <f t="shared" si="16"/>
        <v>39.549999999999272</v>
      </c>
    </row>
    <row r="177" spans="1:11" x14ac:dyDescent="0.25">
      <c r="A177" s="1">
        <v>45915</v>
      </c>
      <c r="B177" s="1" t="str">
        <f t="shared" si="19"/>
        <v>Mon</v>
      </c>
      <c r="C177">
        <v>25118.9</v>
      </c>
      <c r="D177">
        <v>25138.45</v>
      </c>
      <c r="E177">
        <v>25048.75</v>
      </c>
      <c r="F177">
        <v>25069.200000000001</v>
      </c>
      <c r="G177" s="2">
        <v>10.276875</v>
      </c>
      <c r="H177">
        <f t="shared" si="13"/>
        <v>89.700000000000728</v>
      </c>
      <c r="I177">
        <f t="shared" si="14"/>
        <v>19.549999999999272</v>
      </c>
      <c r="J177">
        <f t="shared" si="15"/>
        <v>70.150000000001455</v>
      </c>
      <c r="K177">
        <f t="shared" si="16"/>
        <v>49.700000000000728</v>
      </c>
    </row>
    <row r="178" spans="1:11" x14ac:dyDescent="0.25">
      <c r="A178" s="1">
        <v>45916</v>
      </c>
      <c r="B178" s="1" t="str">
        <f t="shared" si="19"/>
        <v>Tue</v>
      </c>
      <c r="C178">
        <v>25073.599999999999</v>
      </c>
      <c r="D178">
        <v>25261.4</v>
      </c>
      <c r="E178">
        <v>25070.45</v>
      </c>
      <c r="F178">
        <v>25239.1</v>
      </c>
      <c r="G178" s="2">
        <v>10.230625</v>
      </c>
      <c r="H178">
        <f t="shared" si="13"/>
        <v>190.95000000000073</v>
      </c>
      <c r="I178">
        <f t="shared" si="14"/>
        <v>187.80000000000291</v>
      </c>
      <c r="J178">
        <f t="shared" si="15"/>
        <v>3.1499999999978172</v>
      </c>
      <c r="K178">
        <f t="shared" si="16"/>
        <v>165.5</v>
      </c>
    </row>
    <row r="179" spans="1:11" x14ac:dyDescent="0.25">
      <c r="A179" s="1">
        <v>45917</v>
      </c>
      <c r="B179" s="1" t="str">
        <f t="shared" si="19"/>
        <v>Wed</v>
      </c>
      <c r="C179">
        <v>25276.6</v>
      </c>
      <c r="D179">
        <v>25346.5</v>
      </c>
      <c r="E179">
        <v>25275.35</v>
      </c>
      <c r="F179">
        <v>25330.25</v>
      </c>
      <c r="G179" s="2">
        <v>10.123750000000001</v>
      </c>
      <c r="H179">
        <f t="shared" si="13"/>
        <v>71.150000000001455</v>
      </c>
      <c r="I179">
        <f t="shared" si="14"/>
        <v>69.900000000001455</v>
      </c>
      <c r="J179">
        <f t="shared" si="15"/>
        <v>1.25</v>
      </c>
      <c r="K179">
        <f t="shared" si="16"/>
        <v>53.650000000001455</v>
      </c>
    </row>
    <row r="180" spans="1:11" x14ac:dyDescent="0.25">
      <c r="A180" s="1">
        <v>45918</v>
      </c>
      <c r="B180" s="1" t="str">
        <f t="shared" si="19"/>
        <v>Thu</v>
      </c>
      <c r="C180">
        <v>25441.05</v>
      </c>
      <c r="D180">
        <v>25448.55</v>
      </c>
      <c r="E180">
        <v>25329.75</v>
      </c>
      <c r="F180">
        <v>25423.599999999999</v>
      </c>
      <c r="G180" s="2">
        <v>9.9693749999999994</v>
      </c>
      <c r="H180">
        <f t="shared" si="13"/>
        <v>118.79999999999927</v>
      </c>
      <c r="I180">
        <f t="shared" si="14"/>
        <v>7.5</v>
      </c>
      <c r="J180">
        <f t="shared" si="15"/>
        <v>111.29999999999927</v>
      </c>
      <c r="K180">
        <f t="shared" si="16"/>
        <v>17.450000000000728</v>
      </c>
    </row>
    <row r="181" spans="1:11" x14ac:dyDescent="0.25">
      <c r="A181" s="1">
        <v>45919</v>
      </c>
      <c r="B181" s="1" t="str">
        <f t="shared" si="19"/>
        <v>Fri</v>
      </c>
      <c r="C181">
        <v>25410.2</v>
      </c>
      <c r="D181">
        <v>25431.4</v>
      </c>
      <c r="E181">
        <v>25286.3</v>
      </c>
      <c r="F181">
        <v>25327.05</v>
      </c>
      <c r="G181" s="2">
        <v>9.8768750000000001</v>
      </c>
      <c r="H181">
        <f t="shared" si="13"/>
        <v>145.10000000000218</v>
      </c>
      <c r="I181">
        <f t="shared" si="14"/>
        <v>21.200000000000728</v>
      </c>
      <c r="J181">
        <f t="shared" si="15"/>
        <v>123.90000000000146</v>
      </c>
      <c r="K181">
        <f t="shared" si="16"/>
        <v>83.150000000001455</v>
      </c>
    </row>
    <row r="182" spans="1:11" x14ac:dyDescent="0.25">
      <c r="A182" s="1">
        <v>45922</v>
      </c>
      <c r="B182" s="1" t="str">
        <f t="shared" si="19"/>
        <v>Mon</v>
      </c>
      <c r="C182">
        <v>25238.1</v>
      </c>
      <c r="D182">
        <v>25331.7</v>
      </c>
      <c r="E182">
        <v>25151.05</v>
      </c>
      <c r="F182">
        <v>25202.35</v>
      </c>
      <c r="G182" s="2">
        <v>10.306875</v>
      </c>
      <c r="H182">
        <f t="shared" si="13"/>
        <v>180.65000000000146</v>
      </c>
      <c r="I182">
        <f t="shared" si="14"/>
        <v>93.600000000002183</v>
      </c>
      <c r="J182">
        <f t="shared" si="15"/>
        <v>87.049999999999272</v>
      </c>
      <c r="K182">
        <f t="shared" si="16"/>
        <v>35.75</v>
      </c>
    </row>
    <row r="183" spans="1:11" x14ac:dyDescent="0.25">
      <c r="A183" s="1">
        <v>45923</v>
      </c>
      <c r="B183" s="1" t="str">
        <f t="shared" si="19"/>
        <v>Tue</v>
      </c>
      <c r="C183">
        <v>25209</v>
      </c>
      <c r="D183">
        <v>25261.9</v>
      </c>
      <c r="E183">
        <v>25084.65</v>
      </c>
      <c r="F183">
        <v>25169.5</v>
      </c>
      <c r="G183" s="2">
        <v>10.513125</v>
      </c>
      <c r="H183">
        <f t="shared" si="13"/>
        <v>177.25</v>
      </c>
      <c r="I183">
        <f t="shared" si="14"/>
        <v>52.900000000001455</v>
      </c>
      <c r="J183">
        <f t="shared" si="15"/>
        <v>124.34999999999854</v>
      </c>
      <c r="K183">
        <f t="shared" si="16"/>
        <v>39.5</v>
      </c>
    </row>
    <row r="184" spans="1:11" x14ac:dyDescent="0.25">
      <c r="A184" s="1">
        <v>45924</v>
      </c>
      <c r="B184" s="1" t="str">
        <f t="shared" si="19"/>
        <v>Wed</v>
      </c>
      <c r="C184">
        <v>25108.75</v>
      </c>
      <c r="D184">
        <v>25149.85</v>
      </c>
      <c r="E184">
        <v>25027.45</v>
      </c>
      <c r="F184">
        <v>25056.9</v>
      </c>
      <c r="G184" s="2">
        <v>10.5375</v>
      </c>
      <c r="H184">
        <f t="shared" si="13"/>
        <v>122.39999999999782</v>
      </c>
      <c r="I184">
        <f t="shared" si="14"/>
        <v>41.099999999998545</v>
      </c>
      <c r="J184">
        <f t="shared" si="15"/>
        <v>81.299999999999272</v>
      </c>
      <c r="K184">
        <f t="shared" si="16"/>
        <v>51.849999999998545</v>
      </c>
    </row>
    <row r="185" spans="1:11" x14ac:dyDescent="0.25">
      <c r="A185" s="1">
        <v>45925</v>
      </c>
      <c r="B185" s="1" t="str">
        <f t="shared" si="19"/>
        <v>Thu</v>
      </c>
      <c r="C185">
        <v>25034.5</v>
      </c>
      <c r="D185">
        <v>25092.7</v>
      </c>
      <c r="E185">
        <v>24878.3</v>
      </c>
      <c r="F185">
        <v>24890.85</v>
      </c>
      <c r="G185" s="2">
        <v>10.62125</v>
      </c>
      <c r="H185">
        <f t="shared" si="13"/>
        <v>214.40000000000146</v>
      </c>
      <c r="I185">
        <f t="shared" si="14"/>
        <v>58.200000000000728</v>
      </c>
      <c r="J185">
        <f t="shared" si="15"/>
        <v>156.20000000000073</v>
      </c>
      <c r="K185">
        <f t="shared" si="16"/>
        <v>143.65000000000146</v>
      </c>
    </row>
    <row r="186" spans="1:11" x14ac:dyDescent="0.25">
      <c r="A186" s="1">
        <v>45926</v>
      </c>
      <c r="B186" s="1" t="str">
        <f t="shared" si="19"/>
        <v>Fri</v>
      </c>
      <c r="C186">
        <v>24818.55</v>
      </c>
      <c r="D186">
        <v>24868.6</v>
      </c>
      <c r="E186">
        <v>24629.45</v>
      </c>
      <c r="F186">
        <v>24654.7</v>
      </c>
      <c r="G186" s="2">
        <v>11.015000000000001</v>
      </c>
      <c r="H186">
        <f t="shared" si="13"/>
        <v>239.14999999999782</v>
      </c>
      <c r="I186">
        <f t="shared" si="14"/>
        <v>50.049999999999272</v>
      </c>
      <c r="J186">
        <f t="shared" si="15"/>
        <v>189.09999999999854</v>
      </c>
      <c r="K186">
        <f t="shared" si="16"/>
        <v>163.84999999999854</v>
      </c>
    </row>
    <row r="187" spans="1:11" x14ac:dyDescent="0.25">
      <c r="A187" s="1">
        <v>45929</v>
      </c>
      <c r="B187" s="1" t="str">
        <f t="shared" si="19"/>
        <v>Mon</v>
      </c>
      <c r="C187">
        <v>24728.55</v>
      </c>
      <c r="D187">
        <v>24791.3</v>
      </c>
      <c r="E187">
        <v>24606.2</v>
      </c>
      <c r="F187">
        <v>24634.9</v>
      </c>
      <c r="G187" s="2">
        <v>11.28375</v>
      </c>
      <c r="H187">
        <f t="shared" si="13"/>
        <v>185.09999999999854</v>
      </c>
      <c r="I187">
        <f t="shared" si="14"/>
        <v>62.75</v>
      </c>
      <c r="J187">
        <f t="shared" si="15"/>
        <v>122.34999999999854</v>
      </c>
      <c r="K187">
        <f t="shared" si="16"/>
        <v>93.649999999997817</v>
      </c>
    </row>
    <row r="188" spans="1:11" x14ac:dyDescent="0.25">
      <c r="A188" s="1">
        <v>45930</v>
      </c>
      <c r="B188" s="1" t="str">
        <f t="shared" si="19"/>
        <v>Tue</v>
      </c>
      <c r="C188">
        <v>24691.95</v>
      </c>
      <c r="D188">
        <v>24731.8</v>
      </c>
      <c r="E188">
        <v>24587.7</v>
      </c>
      <c r="F188">
        <v>24611.1</v>
      </c>
      <c r="G188" s="2">
        <v>11.288124999999999</v>
      </c>
      <c r="H188">
        <f t="shared" si="13"/>
        <v>144.09999999999854</v>
      </c>
      <c r="I188">
        <f t="shared" si="14"/>
        <v>39.849999999998545</v>
      </c>
      <c r="J188">
        <f t="shared" si="15"/>
        <v>104.25</v>
      </c>
      <c r="K188">
        <f t="shared" si="16"/>
        <v>80.850000000002183</v>
      </c>
    </row>
    <row r="189" spans="1:11" x14ac:dyDescent="0.25">
      <c r="A189" s="1">
        <v>45931</v>
      </c>
      <c r="B189" s="1" t="str">
        <f t="shared" si="19"/>
        <v>Wed</v>
      </c>
      <c r="C189">
        <v>24620.55</v>
      </c>
      <c r="D189">
        <v>24867.95</v>
      </c>
      <c r="E189">
        <v>24605.95</v>
      </c>
      <c r="F189">
        <v>24836.3</v>
      </c>
      <c r="G189" s="2">
        <v>10.690624999999999</v>
      </c>
      <c r="H189">
        <f t="shared" si="13"/>
        <v>262</v>
      </c>
      <c r="I189">
        <f t="shared" si="14"/>
        <v>247.40000000000146</v>
      </c>
      <c r="J189">
        <f t="shared" si="15"/>
        <v>14.599999999998545</v>
      </c>
      <c r="K189">
        <f t="shared" si="16"/>
        <v>215.75</v>
      </c>
    </row>
    <row r="190" spans="1:11" x14ac:dyDescent="0.25">
      <c r="A190" s="1">
        <v>45933</v>
      </c>
      <c r="B190" s="1" t="str">
        <f t="shared" si="19"/>
        <v>Fri</v>
      </c>
      <c r="C190">
        <v>24759.55</v>
      </c>
      <c r="D190">
        <v>24904.799999999999</v>
      </c>
      <c r="E190">
        <v>24747.55</v>
      </c>
      <c r="F190">
        <v>24894.25</v>
      </c>
      <c r="G190" s="2">
        <v>10.22875</v>
      </c>
      <c r="H190">
        <f t="shared" si="13"/>
        <v>157.25</v>
      </c>
      <c r="I190">
        <f t="shared" si="14"/>
        <v>145.25</v>
      </c>
      <c r="J190">
        <f t="shared" si="15"/>
        <v>12</v>
      </c>
      <c r="K190">
        <f t="shared" si="16"/>
        <v>134.70000000000073</v>
      </c>
    </row>
    <row r="191" spans="1:11" x14ac:dyDescent="0.25">
      <c r="A191" s="1">
        <v>45936</v>
      </c>
      <c r="B191" s="1" t="str">
        <f t="shared" si="19"/>
        <v>Mon</v>
      </c>
      <c r="C191">
        <v>24916.55</v>
      </c>
      <c r="D191">
        <v>25095.95</v>
      </c>
      <c r="E191">
        <v>24881.65</v>
      </c>
      <c r="F191">
        <v>25077.65</v>
      </c>
      <c r="G191" s="2">
        <v>10.11125</v>
      </c>
      <c r="H191">
        <f t="shared" si="13"/>
        <v>214.29999999999927</v>
      </c>
      <c r="I191">
        <f t="shared" si="14"/>
        <v>179.40000000000146</v>
      </c>
      <c r="J191">
        <f t="shared" si="15"/>
        <v>34.899999999997817</v>
      </c>
      <c r="K191">
        <f t="shared" si="16"/>
        <v>161.10000000000218</v>
      </c>
    </row>
    <row r="192" spans="1:11" x14ac:dyDescent="0.25">
      <c r="A192" s="1">
        <v>45937</v>
      </c>
      <c r="B192" s="1" t="str">
        <f t="shared" si="19"/>
        <v>Tue</v>
      </c>
      <c r="C192">
        <v>25085.3</v>
      </c>
      <c r="D192">
        <v>25220.9</v>
      </c>
      <c r="E192">
        <v>25076.3</v>
      </c>
      <c r="F192">
        <v>25108.3</v>
      </c>
      <c r="G192" s="2">
        <v>10.173124999999999</v>
      </c>
      <c r="H192">
        <f t="shared" si="13"/>
        <v>144.60000000000218</v>
      </c>
      <c r="I192">
        <f t="shared" si="14"/>
        <v>135.60000000000218</v>
      </c>
      <c r="J192">
        <f t="shared" si="15"/>
        <v>9</v>
      </c>
      <c r="K192">
        <f t="shared" si="16"/>
        <v>23</v>
      </c>
    </row>
    <row r="193" spans="1:11" x14ac:dyDescent="0.25">
      <c r="A193" s="1">
        <v>45938</v>
      </c>
      <c r="B193" s="1" t="str">
        <f t="shared" si="19"/>
        <v>Wed</v>
      </c>
      <c r="C193">
        <v>25079.75</v>
      </c>
      <c r="D193">
        <v>25192.5</v>
      </c>
      <c r="E193">
        <v>25008.5</v>
      </c>
      <c r="F193">
        <v>25046.15</v>
      </c>
      <c r="G193" s="2">
        <v>10.1425</v>
      </c>
      <c r="H193">
        <f t="shared" si="13"/>
        <v>184</v>
      </c>
      <c r="I193">
        <f t="shared" si="14"/>
        <v>112.75</v>
      </c>
      <c r="J193">
        <f t="shared" si="15"/>
        <v>71.25</v>
      </c>
      <c r="K193">
        <f t="shared" si="16"/>
        <v>33.599999999998545</v>
      </c>
    </row>
    <row r="194" spans="1:11" x14ac:dyDescent="0.25">
      <c r="A194" s="1">
        <v>45939</v>
      </c>
      <c r="B194" s="1" t="str">
        <f t="shared" si="19"/>
        <v>Thu</v>
      </c>
      <c r="C194">
        <v>25074.3</v>
      </c>
      <c r="D194">
        <v>25199.25</v>
      </c>
      <c r="E194">
        <v>25024.3</v>
      </c>
      <c r="F194">
        <v>25181.8</v>
      </c>
      <c r="G194" s="2">
        <v>10.248749999999999</v>
      </c>
      <c r="H194">
        <f t="shared" ref="H194:H250" si="20">+D194-E194</f>
        <v>174.95000000000073</v>
      </c>
      <c r="I194">
        <f t="shared" ref="I194:I250" si="21">+D194-C194</f>
        <v>124.95000000000073</v>
      </c>
      <c r="J194">
        <f t="shared" ref="J194:J250" si="22">+C194-E194</f>
        <v>50</v>
      </c>
      <c r="K194">
        <f t="shared" ref="K194:K250" si="23">+ABS(C194-F194)</f>
        <v>107.5</v>
      </c>
    </row>
    <row r="195" spans="1:11" x14ac:dyDescent="0.25">
      <c r="A195" s="1">
        <v>45940</v>
      </c>
      <c r="B195" s="1" t="str">
        <f t="shared" si="19"/>
        <v>Fri</v>
      </c>
      <c r="C195">
        <v>25167.65</v>
      </c>
      <c r="D195">
        <v>25330.75</v>
      </c>
      <c r="E195">
        <v>25156.85</v>
      </c>
      <c r="F195">
        <v>25285.35</v>
      </c>
      <c r="G195" s="2">
        <v>10.068125</v>
      </c>
      <c r="H195">
        <f t="shared" si="20"/>
        <v>173.90000000000146</v>
      </c>
      <c r="I195">
        <f t="shared" si="21"/>
        <v>163.09999999999854</v>
      </c>
      <c r="J195">
        <f t="shared" si="22"/>
        <v>10.80000000000291</v>
      </c>
      <c r="K195">
        <f t="shared" si="23"/>
        <v>117.69999999999709</v>
      </c>
    </row>
    <row r="196" spans="1:11" x14ac:dyDescent="0.25">
      <c r="A196" s="1">
        <v>45943</v>
      </c>
      <c r="B196" s="1" t="str">
        <f t="shared" si="19"/>
        <v>Mon</v>
      </c>
      <c r="C196">
        <v>25177.3</v>
      </c>
      <c r="D196">
        <v>25267.3</v>
      </c>
      <c r="E196">
        <v>25152.3</v>
      </c>
      <c r="F196">
        <v>25227.35</v>
      </c>
      <c r="G196" s="2">
        <v>10.536875</v>
      </c>
      <c r="H196">
        <f t="shared" si="20"/>
        <v>115</v>
      </c>
      <c r="I196">
        <f t="shared" si="21"/>
        <v>90</v>
      </c>
      <c r="J196">
        <f t="shared" si="22"/>
        <v>25</v>
      </c>
      <c r="K196">
        <f t="shared" si="23"/>
        <v>50.049999999999272</v>
      </c>
    </row>
    <row r="197" spans="1:11" x14ac:dyDescent="0.25">
      <c r="A197" s="1">
        <v>45944</v>
      </c>
      <c r="B197" s="1" t="str">
        <f t="shared" si="19"/>
        <v>Tue</v>
      </c>
      <c r="C197">
        <v>25277.55</v>
      </c>
      <c r="D197">
        <v>25310.35</v>
      </c>
      <c r="E197">
        <v>25060.55</v>
      </c>
      <c r="F197">
        <v>25145.5</v>
      </c>
      <c r="G197" s="2">
        <v>10.961874999999999</v>
      </c>
      <c r="H197">
        <f t="shared" si="20"/>
        <v>249.79999999999927</v>
      </c>
      <c r="I197">
        <f t="shared" si="21"/>
        <v>32.799999999999272</v>
      </c>
      <c r="J197">
        <f t="shared" si="22"/>
        <v>217</v>
      </c>
      <c r="K197">
        <f t="shared" si="23"/>
        <v>132.04999999999927</v>
      </c>
    </row>
    <row r="198" spans="1:11" x14ac:dyDescent="0.25">
      <c r="A198" s="1">
        <v>45945</v>
      </c>
      <c r="B198" s="1" t="str">
        <f t="shared" si="19"/>
        <v>Wed</v>
      </c>
      <c r="C198">
        <v>25181.95</v>
      </c>
      <c r="D198">
        <v>25365.15</v>
      </c>
      <c r="E198">
        <v>25159.35</v>
      </c>
      <c r="F198">
        <v>25323.55</v>
      </c>
      <c r="G198" s="2">
        <v>10.818125</v>
      </c>
      <c r="H198">
        <f t="shared" si="20"/>
        <v>205.80000000000291</v>
      </c>
      <c r="I198">
        <f t="shared" si="21"/>
        <v>183.20000000000073</v>
      </c>
      <c r="J198">
        <f t="shared" si="22"/>
        <v>22.600000000002183</v>
      </c>
      <c r="K198">
        <f t="shared" si="23"/>
        <v>141.59999999999854</v>
      </c>
    </row>
    <row r="199" spans="1:11" x14ac:dyDescent="0.25">
      <c r="A199" s="1">
        <v>45946</v>
      </c>
      <c r="B199" s="1" t="str">
        <f t="shared" ref="B199:B230" si="24">+TEXT(A199,"ddd")</f>
        <v>Thu</v>
      </c>
      <c r="C199">
        <v>25394.9</v>
      </c>
      <c r="D199">
        <v>25625.4</v>
      </c>
      <c r="E199">
        <v>25376.85</v>
      </c>
      <c r="F199">
        <v>25585.3</v>
      </c>
      <c r="G199" s="2">
        <v>10.709999999999999</v>
      </c>
      <c r="H199">
        <f t="shared" si="20"/>
        <v>248.55000000000291</v>
      </c>
      <c r="I199">
        <f t="shared" si="21"/>
        <v>230.5</v>
      </c>
      <c r="J199">
        <f t="shared" si="22"/>
        <v>18.05000000000291</v>
      </c>
      <c r="K199">
        <f t="shared" si="23"/>
        <v>190.39999999999782</v>
      </c>
    </row>
    <row r="200" spans="1:11" x14ac:dyDescent="0.25">
      <c r="A200" s="1">
        <v>45947</v>
      </c>
      <c r="B200" s="1" t="str">
        <f t="shared" si="24"/>
        <v>Fri</v>
      </c>
      <c r="C200">
        <v>25546.85</v>
      </c>
      <c r="D200">
        <v>25781.5</v>
      </c>
      <c r="E200">
        <v>25508.6</v>
      </c>
      <c r="F200">
        <v>25709.85</v>
      </c>
      <c r="G200" s="2">
        <v>11.020000000000001</v>
      </c>
      <c r="H200">
        <f t="shared" si="20"/>
        <v>272.90000000000146</v>
      </c>
      <c r="I200">
        <f t="shared" si="21"/>
        <v>234.65000000000146</v>
      </c>
      <c r="J200">
        <f t="shared" si="22"/>
        <v>38.25</v>
      </c>
      <c r="K200">
        <f t="shared" si="23"/>
        <v>163</v>
      </c>
    </row>
    <row r="201" spans="1:11" x14ac:dyDescent="0.25">
      <c r="A201" s="1">
        <v>45950</v>
      </c>
      <c r="B201" s="1" t="str">
        <f t="shared" si="24"/>
        <v>Mon</v>
      </c>
      <c r="C201">
        <v>25824.6</v>
      </c>
      <c r="D201">
        <v>25926.2</v>
      </c>
      <c r="E201">
        <v>25788.5</v>
      </c>
      <c r="F201">
        <v>25843.15</v>
      </c>
      <c r="G201" s="2">
        <v>11.3825</v>
      </c>
      <c r="H201">
        <f t="shared" si="20"/>
        <v>137.70000000000073</v>
      </c>
      <c r="I201">
        <f t="shared" si="21"/>
        <v>101.60000000000218</v>
      </c>
      <c r="J201">
        <f t="shared" si="22"/>
        <v>36.099999999998545</v>
      </c>
      <c r="K201">
        <f t="shared" si="23"/>
        <v>18.55000000000291</v>
      </c>
    </row>
    <row r="202" spans="1:11" x14ac:dyDescent="0.25">
      <c r="A202" s="1">
        <v>45951</v>
      </c>
      <c r="B202" s="1" t="str">
        <f t="shared" si="24"/>
        <v>Tue</v>
      </c>
      <c r="C202">
        <v>25901.200000000001</v>
      </c>
      <c r="D202">
        <v>25934.35</v>
      </c>
      <c r="E202">
        <v>25825.8</v>
      </c>
      <c r="F202">
        <v>25868.6</v>
      </c>
      <c r="G202" s="2">
        <v>11.237500000000001</v>
      </c>
      <c r="H202">
        <f t="shared" si="20"/>
        <v>108.54999999999927</v>
      </c>
      <c r="I202">
        <f t="shared" si="21"/>
        <v>33.149999999997817</v>
      </c>
      <c r="J202">
        <f t="shared" si="22"/>
        <v>75.400000000001455</v>
      </c>
      <c r="K202">
        <f t="shared" si="23"/>
        <v>32.600000000002183</v>
      </c>
    </row>
    <row r="203" spans="1:11" x14ac:dyDescent="0.25">
      <c r="A203" s="1">
        <v>45953</v>
      </c>
      <c r="B203" s="1" t="str">
        <f t="shared" si="24"/>
        <v>Thu</v>
      </c>
      <c r="C203">
        <v>26057.200000000001</v>
      </c>
      <c r="D203">
        <v>26104.2</v>
      </c>
      <c r="E203">
        <v>25862.45</v>
      </c>
      <c r="F203">
        <v>25891.4</v>
      </c>
      <c r="G203" s="2">
        <v>11.453749999999999</v>
      </c>
      <c r="H203">
        <f t="shared" si="20"/>
        <v>241.75</v>
      </c>
      <c r="I203">
        <f t="shared" si="21"/>
        <v>47</v>
      </c>
      <c r="J203">
        <f t="shared" si="22"/>
        <v>194.75</v>
      </c>
      <c r="K203">
        <f t="shared" si="23"/>
        <v>165.79999999999927</v>
      </c>
    </row>
    <row r="204" spans="1:11" x14ac:dyDescent="0.25">
      <c r="A204" s="1">
        <v>45954</v>
      </c>
      <c r="B204" s="1" t="str">
        <f t="shared" si="24"/>
        <v>Fri</v>
      </c>
      <c r="C204">
        <v>25935.1</v>
      </c>
      <c r="D204">
        <v>25944.15</v>
      </c>
      <c r="E204">
        <v>25718.2</v>
      </c>
      <c r="F204">
        <v>25795.15</v>
      </c>
      <c r="G204" s="2">
        <v>11.675000000000001</v>
      </c>
      <c r="H204">
        <f t="shared" si="20"/>
        <v>225.95000000000073</v>
      </c>
      <c r="I204">
        <f t="shared" si="21"/>
        <v>9.0500000000029104</v>
      </c>
      <c r="J204">
        <f t="shared" si="22"/>
        <v>216.89999999999782</v>
      </c>
      <c r="K204">
        <f t="shared" si="23"/>
        <v>139.94999999999709</v>
      </c>
    </row>
    <row r="205" spans="1:11" x14ac:dyDescent="0.25">
      <c r="A205" s="1">
        <v>45957</v>
      </c>
      <c r="B205" s="1" t="str">
        <f t="shared" si="24"/>
        <v>Mon</v>
      </c>
      <c r="C205">
        <v>25843.200000000001</v>
      </c>
      <c r="D205">
        <v>26005.95</v>
      </c>
      <c r="E205">
        <v>25827</v>
      </c>
      <c r="F205">
        <v>25966.05</v>
      </c>
      <c r="G205" s="2">
        <v>11.86375</v>
      </c>
      <c r="H205">
        <f t="shared" si="20"/>
        <v>178.95000000000073</v>
      </c>
      <c r="I205">
        <f t="shared" si="21"/>
        <v>162.75</v>
      </c>
      <c r="J205">
        <f t="shared" si="22"/>
        <v>16.200000000000728</v>
      </c>
      <c r="K205">
        <f t="shared" si="23"/>
        <v>122.84999999999854</v>
      </c>
    </row>
    <row r="206" spans="1:11" x14ac:dyDescent="0.25">
      <c r="A206" s="1">
        <v>45958</v>
      </c>
      <c r="B206" s="1" t="str">
        <f t="shared" si="24"/>
        <v>Tue</v>
      </c>
      <c r="C206">
        <v>25939.95</v>
      </c>
      <c r="D206">
        <v>26041.7</v>
      </c>
      <c r="E206">
        <v>25810.05</v>
      </c>
      <c r="F206">
        <v>25936.2</v>
      </c>
      <c r="G206" s="2">
        <v>11.786874999999998</v>
      </c>
      <c r="H206">
        <f t="shared" si="20"/>
        <v>231.65000000000146</v>
      </c>
      <c r="I206">
        <f t="shared" si="21"/>
        <v>101.75</v>
      </c>
      <c r="J206">
        <f t="shared" si="22"/>
        <v>129.90000000000146</v>
      </c>
      <c r="K206">
        <f t="shared" si="23"/>
        <v>3.75</v>
      </c>
    </row>
    <row r="207" spans="1:11" x14ac:dyDescent="0.25">
      <c r="A207" s="1">
        <v>45959</v>
      </c>
      <c r="B207" s="1" t="str">
        <f t="shared" si="24"/>
        <v>Wed</v>
      </c>
      <c r="C207">
        <v>25982</v>
      </c>
      <c r="D207">
        <v>26097.85</v>
      </c>
      <c r="E207">
        <v>25960.3</v>
      </c>
      <c r="F207">
        <v>26053.9</v>
      </c>
      <c r="G207" s="2">
        <v>11.813124999999999</v>
      </c>
      <c r="H207">
        <f t="shared" si="20"/>
        <v>137.54999999999927</v>
      </c>
      <c r="I207">
        <f t="shared" si="21"/>
        <v>115.84999999999854</v>
      </c>
      <c r="J207">
        <f t="shared" si="22"/>
        <v>21.700000000000728</v>
      </c>
      <c r="K207">
        <f t="shared" si="23"/>
        <v>71.900000000001455</v>
      </c>
    </row>
    <row r="208" spans="1:11" x14ac:dyDescent="0.25">
      <c r="A208" s="1">
        <v>45960</v>
      </c>
      <c r="B208" s="1" t="str">
        <f t="shared" si="24"/>
        <v>Thu</v>
      </c>
      <c r="C208">
        <v>25984.400000000001</v>
      </c>
      <c r="D208">
        <v>26032.05</v>
      </c>
      <c r="E208">
        <v>25845.25</v>
      </c>
      <c r="F208">
        <v>25877.85</v>
      </c>
      <c r="G208" s="2">
        <v>12.005000000000001</v>
      </c>
      <c r="H208">
        <f t="shared" si="20"/>
        <v>186.79999999999927</v>
      </c>
      <c r="I208">
        <f t="shared" si="21"/>
        <v>47.649999999997817</v>
      </c>
      <c r="J208">
        <f t="shared" si="22"/>
        <v>139.15000000000146</v>
      </c>
      <c r="K208">
        <f t="shared" si="23"/>
        <v>106.55000000000291</v>
      </c>
    </row>
    <row r="209" spans="1:11" x14ac:dyDescent="0.25">
      <c r="A209" s="1">
        <v>45961</v>
      </c>
      <c r="B209" s="1" t="str">
        <f t="shared" si="24"/>
        <v>Fri</v>
      </c>
      <c r="C209">
        <v>25863.8</v>
      </c>
      <c r="D209">
        <v>25953.75</v>
      </c>
      <c r="E209">
        <v>25711.200000000001</v>
      </c>
      <c r="F209">
        <v>25722.1</v>
      </c>
      <c r="G209" s="2">
        <v>12.06875</v>
      </c>
      <c r="H209">
        <f t="shared" si="20"/>
        <v>242.54999999999927</v>
      </c>
      <c r="I209">
        <f t="shared" si="21"/>
        <v>89.950000000000728</v>
      </c>
      <c r="J209">
        <f t="shared" si="22"/>
        <v>152.59999999999854</v>
      </c>
      <c r="K209">
        <f t="shared" si="23"/>
        <v>141.70000000000073</v>
      </c>
    </row>
    <row r="210" spans="1:11" x14ac:dyDescent="0.25">
      <c r="A210" s="1">
        <v>45964</v>
      </c>
      <c r="B210" s="1" t="str">
        <f t="shared" si="24"/>
        <v>Mon</v>
      </c>
      <c r="C210">
        <v>25696.85</v>
      </c>
      <c r="D210">
        <v>25803.1</v>
      </c>
      <c r="E210">
        <v>25645.5</v>
      </c>
      <c r="F210">
        <v>25763.35</v>
      </c>
      <c r="G210" s="2">
        <v>12.387500000000001</v>
      </c>
      <c r="H210">
        <f t="shared" si="20"/>
        <v>157.59999999999854</v>
      </c>
      <c r="I210">
        <f t="shared" si="21"/>
        <v>106.25</v>
      </c>
      <c r="J210">
        <f t="shared" si="22"/>
        <v>51.349999999998545</v>
      </c>
      <c r="K210">
        <f t="shared" si="23"/>
        <v>66.5</v>
      </c>
    </row>
    <row r="211" spans="1:11" x14ac:dyDescent="0.25">
      <c r="A211" s="1">
        <v>45965</v>
      </c>
      <c r="B211" s="1" t="str">
        <f t="shared" si="24"/>
        <v>Tue</v>
      </c>
      <c r="C211">
        <v>25744.75</v>
      </c>
      <c r="D211">
        <v>25787.4</v>
      </c>
      <c r="E211">
        <v>25578.400000000001</v>
      </c>
      <c r="F211">
        <v>25597.65</v>
      </c>
      <c r="G211" s="2">
        <v>12.307499999999999</v>
      </c>
      <c r="H211">
        <f t="shared" si="20"/>
        <v>209</v>
      </c>
      <c r="I211">
        <f t="shared" si="21"/>
        <v>42.650000000001455</v>
      </c>
      <c r="J211">
        <f t="shared" si="22"/>
        <v>166.34999999999854</v>
      </c>
      <c r="K211">
        <f t="shared" si="23"/>
        <v>147.09999999999854</v>
      </c>
    </row>
    <row r="212" spans="1:11" x14ac:dyDescent="0.25">
      <c r="A212" s="1">
        <v>45967</v>
      </c>
      <c r="B212" s="1" t="str">
        <f t="shared" si="24"/>
        <v>Thu</v>
      </c>
      <c r="C212">
        <v>25593.35</v>
      </c>
      <c r="D212">
        <v>25679.15</v>
      </c>
      <c r="E212">
        <v>25491.55</v>
      </c>
      <c r="F212">
        <v>25509.7</v>
      </c>
      <c r="G212" s="2">
        <v>12.49625</v>
      </c>
      <c r="H212">
        <f t="shared" si="20"/>
        <v>187.60000000000218</v>
      </c>
      <c r="I212">
        <f t="shared" si="21"/>
        <v>85.80000000000291</v>
      </c>
      <c r="J212">
        <f t="shared" si="22"/>
        <v>101.79999999999927</v>
      </c>
      <c r="K212">
        <f t="shared" si="23"/>
        <v>83.649999999997817</v>
      </c>
    </row>
    <row r="213" spans="1:11" x14ac:dyDescent="0.25">
      <c r="A213" s="1">
        <v>45968</v>
      </c>
      <c r="B213" s="1" t="str">
        <f t="shared" si="24"/>
        <v>Fri</v>
      </c>
      <c r="C213">
        <v>25433.8</v>
      </c>
      <c r="D213">
        <v>25551.25</v>
      </c>
      <c r="E213">
        <v>25318.45</v>
      </c>
      <c r="F213">
        <v>25492.3</v>
      </c>
      <c r="G213" s="2">
        <v>12.39875</v>
      </c>
      <c r="H213">
        <f t="shared" si="20"/>
        <v>232.79999999999927</v>
      </c>
      <c r="I213">
        <f t="shared" si="21"/>
        <v>117.45000000000073</v>
      </c>
      <c r="J213">
        <f t="shared" si="22"/>
        <v>115.34999999999854</v>
      </c>
      <c r="K213">
        <f t="shared" si="23"/>
        <v>58.5</v>
      </c>
    </row>
    <row r="214" spans="1:11" x14ac:dyDescent="0.25">
      <c r="A214" s="1">
        <v>45971</v>
      </c>
      <c r="B214" s="1" t="str">
        <f t="shared" si="24"/>
        <v>Mon</v>
      </c>
      <c r="C214">
        <v>25503.5</v>
      </c>
      <c r="D214">
        <v>25653.45</v>
      </c>
      <c r="E214">
        <v>25503.5</v>
      </c>
      <c r="F214">
        <v>25574.35</v>
      </c>
      <c r="G214" s="2">
        <v>12.297499999999999</v>
      </c>
      <c r="H214">
        <f t="shared" si="20"/>
        <v>149.95000000000073</v>
      </c>
      <c r="I214">
        <f t="shared" si="21"/>
        <v>149.95000000000073</v>
      </c>
      <c r="J214">
        <f t="shared" si="22"/>
        <v>0</v>
      </c>
      <c r="K214">
        <f t="shared" si="23"/>
        <v>70.849999999998545</v>
      </c>
    </row>
    <row r="215" spans="1:11" x14ac:dyDescent="0.25">
      <c r="A215" s="1">
        <v>45972</v>
      </c>
      <c r="B215" s="1" t="str">
        <f t="shared" si="24"/>
        <v>Tue</v>
      </c>
      <c r="C215">
        <v>25617</v>
      </c>
      <c r="D215">
        <v>25715.8</v>
      </c>
      <c r="E215">
        <v>25449.25</v>
      </c>
      <c r="F215">
        <v>25694.95</v>
      </c>
      <c r="G215" s="2">
        <v>12.446875</v>
      </c>
      <c r="H215">
        <f t="shared" si="20"/>
        <v>266.54999999999927</v>
      </c>
      <c r="I215">
        <f t="shared" si="21"/>
        <v>98.799999999999272</v>
      </c>
      <c r="J215">
        <f t="shared" si="22"/>
        <v>167.75</v>
      </c>
      <c r="K215">
        <f t="shared" si="23"/>
        <v>77.950000000000728</v>
      </c>
    </row>
    <row r="216" spans="1:11" x14ac:dyDescent="0.25">
      <c r="A216" s="1">
        <v>45973</v>
      </c>
      <c r="B216" s="1" t="str">
        <f t="shared" si="24"/>
        <v>Wed</v>
      </c>
      <c r="C216">
        <v>25834.3</v>
      </c>
      <c r="D216">
        <v>25934.55</v>
      </c>
      <c r="E216">
        <v>25781.15</v>
      </c>
      <c r="F216">
        <v>25875.8</v>
      </c>
      <c r="G216" s="2">
        <v>12.188750000000001</v>
      </c>
      <c r="H216">
        <f t="shared" si="20"/>
        <v>153.39999999999782</v>
      </c>
      <c r="I216">
        <f t="shared" si="21"/>
        <v>100.25</v>
      </c>
      <c r="J216">
        <f t="shared" si="22"/>
        <v>53.149999999997817</v>
      </c>
      <c r="K216">
        <f t="shared" si="23"/>
        <v>41.5</v>
      </c>
    </row>
    <row r="217" spans="1:11" x14ac:dyDescent="0.25">
      <c r="A217" s="1">
        <v>45974</v>
      </c>
      <c r="B217" s="1" t="str">
        <f t="shared" si="24"/>
        <v>Thu</v>
      </c>
      <c r="C217">
        <v>25906.1</v>
      </c>
      <c r="D217">
        <v>26010.7</v>
      </c>
      <c r="E217">
        <v>25808.400000000001</v>
      </c>
      <c r="F217">
        <v>25879.15</v>
      </c>
      <c r="G217" s="2">
        <v>11.943124999999998</v>
      </c>
      <c r="H217">
        <f t="shared" si="20"/>
        <v>202.29999999999927</v>
      </c>
      <c r="I217">
        <f t="shared" si="21"/>
        <v>104.60000000000218</v>
      </c>
      <c r="J217">
        <f t="shared" si="22"/>
        <v>97.69999999999709</v>
      </c>
      <c r="K217">
        <f t="shared" si="23"/>
        <v>26.94999999999709</v>
      </c>
    </row>
    <row r="218" spans="1:11" x14ac:dyDescent="0.25">
      <c r="A218" s="1">
        <v>45975</v>
      </c>
      <c r="B218" s="1" t="str">
        <f t="shared" si="24"/>
        <v>Fri</v>
      </c>
      <c r="C218">
        <v>25767.9</v>
      </c>
      <c r="D218">
        <v>25940.2</v>
      </c>
      <c r="E218">
        <v>25740.799999999999</v>
      </c>
      <c r="F218">
        <v>25910.05</v>
      </c>
      <c r="G218" s="2">
        <v>12.0875</v>
      </c>
      <c r="H218">
        <f t="shared" si="20"/>
        <v>199.40000000000146</v>
      </c>
      <c r="I218">
        <f t="shared" si="21"/>
        <v>172.29999999999927</v>
      </c>
      <c r="J218">
        <f t="shared" si="22"/>
        <v>27.100000000002183</v>
      </c>
      <c r="K218">
        <f t="shared" si="23"/>
        <v>142.14999999999782</v>
      </c>
    </row>
    <row r="219" spans="1:11" x14ac:dyDescent="0.25">
      <c r="A219" s="1">
        <v>45978</v>
      </c>
      <c r="B219" s="1" t="str">
        <f t="shared" si="24"/>
        <v>Mon</v>
      </c>
      <c r="C219">
        <v>25948.2</v>
      </c>
      <c r="D219">
        <v>26024.2</v>
      </c>
      <c r="E219">
        <v>25906.35</v>
      </c>
      <c r="F219">
        <v>26013.45</v>
      </c>
      <c r="G219" s="2">
        <v>11.725624999999999</v>
      </c>
      <c r="H219">
        <f t="shared" si="20"/>
        <v>117.85000000000218</v>
      </c>
      <c r="I219">
        <f t="shared" si="21"/>
        <v>76</v>
      </c>
      <c r="J219">
        <f t="shared" si="22"/>
        <v>41.850000000002183</v>
      </c>
      <c r="K219">
        <f t="shared" si="23"/>
        <v>65.25</v>
      </c>
    </row>
    <row r="220" spans="1:11" x14ac:dyDescent="0.25">
      <c r="A220" s="1">
        <v>45979</v>
      </c>
      <c r="B220" s="1" t="str">
        <f t="shared" si="24"/>
        <v>Tue</v>
      </c>
      <c r="C220">
        <v>26021.8</v>
      </c>
      <c r="D220">
        <v>26029.85</v>
      </c>
      <c r="E220">
        <v>25876.5</v>
      </c>
      <c r="F220">
        <v>25910.05</v>
      </c>
      <c r="G220" s="2">
        <v>11.779375</v>
      </c>
      <c r="H220">
        <f t="shared" si="20"/>
        <v>153.34999999999854</v>
      </c>
      <c r="I220">
        <f t="shared" si="21"/>
        <v>8.0499999999992724</v>
      </c>
      <c r="J220">
        <f t="shared" si="22"/>
        <v>145.29999999999927</v>
      </c>
      <c r="K220">
        <f t="shared" si="23"/>
        <v>111.75</v>
      </c>
    </row>
    <row r="221" spans="1:11" x14ac:dyDescent="0.25">
      <c r="A221" s="1">
        <v>45980</v>
      </c>
      <c r="B221" s="1" t="str">
        <f t="shared" si="24"/>
        <v>Wed</v>
      </c>
      <c r="C221">
        <v>25918.1</v>
      </c>
      <c r="D221">
        <v>26074.65</v>
      </c>
      <c r="E221">
        <v>25856.2</v>
      </c>
      <c r="F221">
        <v>26052.65</v>
      </c>
      <c r="G221" s="2">
        <v>11.80125</v>
      </c>
      <c r="H221">
        <f t="shared" si="20"/>
        <v>218.45000000000073</v>
      </c>
      <c r="I221">
        <f t="shared" si="21"/>
        <v>156.55000000000291</v>
      </c>
      <c r="J221">
        <f t="shared" si="22"/>
        <v>61.899999999997817</v>
      </c>
      <c r="K221">
        <f t="shared" si="23"/>
        <v>134.55000000000291</v>
      </c>
    </row>
    <row r="222" spans="1:11" x14ac:dyDescent="0.25">
      <c r="A222" s="1">
        <v>45981</v>
      </c>
      <c r="B222" s="1" t="str">
        <f t="shared" si="24"/>
        <v>Thu</v>
      </c>
      <c r="C222">
        <v>26132.1</v>
      </c>
      <c r="D222">
        <v>26246.65</v>
      </c>
      <c r="E222">
        <v>26063.200000000001</v>
      </c>
      <c r="F222">
        <v>26192.15</v>
      </c>
      <c r="G222" s="2">
        <v>11.88625</v>
      </c>
      <c r="H222">
        <f t="shared" si="20"/>
        <v>183.45000000000073</v>
      </c>
      <c r="I222">
        <f t="shared" si="21"/>
        <v>114.55000000000291</v>
      </c>
      <c r="J222">
        <f t="shared" si="22"/>
        <v>68.899999999997817</v>
      </c>
      <c r="K222">
        <f t="shared" si="23"/>
        <v>60.05000000000291</v>
      </c>
    </row>
    <row r="223" spans="1:11" x14ac:dyDescent="0.25">
      <c r="A223" s="1">
        <v>45982</v>
      </c>
      <c r="B223" s="1" t="str">
        <f t="shared" si="24"/>
        <v>Fri</v>
      </c>
      <c r="C223">
        <v>26109.55</v>
      </c>
      <c r="D223">
        <v>26179.200000000001</v>
      </c>
      <c r="E223">
        <v>26052.2</v>
      </c>
      <c r="F223">
        <v>26068.15</v>
      </c>
      <c r="G223" s="2">
        <v>12.9375</v>
      </c>
      <c r="H223">
        <f t="shared" si="20"/>
        <v>127</v>
      </c>
      <c r="I223">
        <f t="shared" si="21"/>
        <v>69.650000000001455</v>
      </c>
      <c r="J223">
        <f t="shared" si="22"/>
        <v>57.349999999998545</v>
      </c>
      <c r="K223">
        <f t="shared" si="23"/>
        <v>41.399999999997817</v>
      </c>
    </row>
    <row r="224" spans="1:11" x14ac:dyDescent="0.25">
      <c r="A224" s="1">
        <v>45985</v>
      </c>
      <c r="B224" s="1" t="str">
        <f t="shared" si="24"/>
        <v>Mon</v>
      </c>
      <c r="C224">
        <v>26122.799999999999</v>
      </c>
      <c r="D224">
        <v>26142.799999999999</v>
      </c>
      <c r="E224">
        <v>25912.15</v>
      </c>
      <c r="F224">
        <v>25959.5</v>
      </c>
      <c r="G224" s="2">
        <v>13.109375000000002</v>
      </c>
      <c r="H224">
        <f t="shared" si="20"/>
        <v>230.64999999999782</v>
      </c>
      <c r="I224">
        <f t="shared" si="21"/>
        <v>20</v>
      </c>
      <c r="J224">
        <f t="shared" si="22"/>
        <v>210.64999999999782</v>
      </c>
      <c r="K224">
        <f t="shared" si="23"/>
        <v>163.29999999999927</v>
      </c>
    </row>
    <row r="225" spans="1:11" x14ac:dyDescent="0.25">
      <c r="A225" s="1">
        <v>45986</v>
      </c>
      <c r="B225" s="1" t="str">
        <f t="shared" si="24"/>
        <v>Tue</v>
      </c>
      <c r="C225">
        <v>25998.5</v>
      </c>
      <c r="D225">
        <v>26032.6</v>
      </c>
      <c r="E225">
        <v>25857.5</v>
      </c>
      <c r="F225">
        <v>25884.799999999999</v>
      </c>
      <c r="G225" s="2">
        <v>12.391250000000001</v>
      </c>
      <c r="H225">
        <f t="shared" si="20"/>
        <v>175.09999999999854</v>
      </c>
      <c r="I225">
        <f t="shared" si="21"/>
        <v>34.099999999998545</v>
      </c>
      <c r="J225">
        <f t="shared" si="22"/>
        <v>141</v>
      </c>
      <c r="K225">
        <f t="shared" si="23"/>
        <v>113.70000000000073</v>
      </c>
    </row>
    <row r="226" spans="1:11" x14ac:dyDescent="0.25">
      <c r="A226" s="1">
        <v>45987</v>
      </c>
      <c r="B226" s="1" t="str">
        <f t="shared" si="24"/>
        <v>Wed</v>
      </c>
      <c r="C226">
        <v>25842.95</v>
      </c>
      <c r="D226">
        <v>26215.15</v>
      </c>
      <c r="E226">
        <v>25842.95</v>
      </c>
      <c r="F226">
        <v>26205.3</v>
      </c>
      <c r="G226" s="2">
        <v>12.092499999999999</v>
      </c>
      <c r="H226">
        <f t="shared" si="20"/>
        <v>372.20000000000073</v>
      </c>
      <c r="I226">
        <f t="shared" si="21"/>
        <v>372.20000000000073</v>
      </c>
      <c r="J226">
        <f t="shared" si="22"/>
        <v>0</v>
      </c>
      <c r="K226">
        <f t="shared" si="23"/>
        <v>362.34999999999854</v>
      </c>
    </row>
    <row r="227" spans="1:11" x14ac:dyDescent="0.25">
      <c r="A227" s="1">
        <v>45988</v>
      </c>
      <c r="B227" s="1" t="str">
        <f t="shared" si="24"/>
        <v>Thu</v>
      </c>
      <c r="C227">
        <v>26261.25</v>
      </c>
      <c r="D227">
        <v>26310.45</v>
      </c>
      <c r="E227">
        <v>26141.9</v>
      </c>
      <c r="F227">
        <v>26215.55</v>
      </c>
      <c r="G227" s="2">
        <v>11.876875</v>
      </c>
      <c r="H227">
        <f t="shared" si="20"/>
        <v>168.54999999999927</v>
      </c>
      <c r="I227">
        <f t="shared" si="21"/>
        <v>49.200000000000728</v>
      </c>
      <c r="J227">
        <f t="shared" si="22"/>
        <v>119.34999999999854</v>
      </c>
      <c r="K227">
        <f t="shared" si="23"/>
        <v>45.700000000000728</v>
      </c>
    </row>
    <row r="228" spans="1:11" x14ac:dyDescent="0.25">
      <c r="A228" s="1">
        <v>45989</v>
      </c>
      <c r="B228" s="1" t="str">
        <f t="shared" si="24"/>
        <v>Fri</v>
      </c>
      <c r="C228">
        <v>26237.45</v>
      </c>
      <c r="D228">
        <v>26280.75</v>
      </c>
      <c r="E228">
        <v>26172.400000000001</v>
      </c>
      <c r="F228">
        <v>26202.95</v>
      </c>
      <c r="G228" s="2">
        <v>11.501875</v>
      </c>
      <c r="H228">
        <f t="shared" si="20"/>
        <v>108.34999999999854</v>
      </c>
      <c r="I228">
        <f t="shared" si="21"/>
        <v>43.299999999999272</v>
      </c>
      <c r="J228">
        <f t="shared" si="22"/>
        <v>65.049999999999272</v>
      </c>
      <c r="K228">
        <f t="shared" si="23"/>
        <v>34.5</v>
      </c>
    </row>
    <row r="229" spans="1:11" x14ac:dyDescent="0.25">
      <c r="A229" s="1">
        <v>45992</v>
      </c>
      <c r="B229" s="1" t="str">
        <f t="shared" si="24"/>
        <v>Mon</v>
      </c>
      <c r="C229">
        <v>26325.8</v>
      </c>
      <c r="D229">
        <v>26325.8</v>
      </c>
      <c r="E229">
        <v>26124.2</v>
      </c>
      <c r="F229">
        <v>26175.75</v>
      </c>
      <c r="G229" s="2">
        <v>11.539375</v>
      </c>
      <c r="H229">
        <f t="shared" si="20"/>
        <v>201.59999999999854</v>
      </c>
      <c r="I229">
        <f t="shared" si="21"/>
        <v>0</v>
      </c>
      <c r="J229">
        <f t="shared" si="22"/>
        <v>201.59999999999854</v>
      </c>
      <c r="K229">
        <f t="shared" si="23"/>
        <v>150.04999999999927</v>
      </c>
    </row>
    <row r="230" spans="1:11" x14ac:dyDescent="0.25">
      <c r="A230" s="1">
        <v>45993</v>
      </c>
      <c r="B230" s="1" t="str">
        <f t="shared" si="24"/>
        <v>Tue</v>
      </c>
      <c r="C230">
        <v>26087.95</v>
      </c>
      <c r="D230">
        <v>26154.6</v>
      </c>
      <c r="E230">
        <v>25997.85</v>
      </c>
      <c r="F230">
        <v>26032.2</v>
      </c>
      <c r="G230" s="2">
        <v>11.456250000000001</v>
      </c>
      <c r="H230">
        <f t="shared" si="20"/>
        <v>156.75</v>
      </c>
      <c r="I230">
        <f t="shared" si="21"/>
        <v>66.649999999997817</v>
      </c>
      <c r="J230">
        <f t="shared" si="22"/>
        <v>90.100000000002183</v>
      </c>
      <c r="K230">
        <f t="shared" si="23"/>
        <v>55.75</v>
      </c>
    </row>
    <row r="231" spans="1:11" x14ac:dyDescent="0.25">
      <c r="A231" s="1">
        <v>45994</v>
      </c>
      <c r="B231" s="1" t="str">
        <f t="shared" ref="B231:B250" si="25">+TEXT(A231,"ddd")</f>
        <v>Wed</v>
      </c>
      <c r="C231">
        <v>26004.9</v>
      </c>
      <c r="D231">
        <v>26066.45</v>
      </c>
      <c r="E231">
        <v>25891</v>
      </c>
      <c r="F231">
        <v>25986</v>
      </c>
      <c r="G231" s="2">
        <v>11.18125</v>
      </c>
      <c r="H231">
        <f t="shared" si="20"/>
        <v>175.45000000000073</v>
      </c>
      <c r="I231">
        <f t="shared" si="21"/>
        <v>61.549999999999272</v>
      </c>
      <c r="J231">
        <f t="shared" si="22"/>
        <v>113.90000000000146</v>
      </c>
      <c r="K231">
        <f t="shared" si="23"/>
        <v>18.900000000001455</v>
      </c>
    </row>
    <row r="232" spans="1:11" x14ac:dyDescent="0.25">
      <c r="A232" s="1">
        <v>45995</v>
      </c>
      <c r="B232" s="1" t="str">
        <f t="shared" si="25"/>
        <v>Thu</v>
      </c>
      <c r="C232">
        <v>25981.85</v>
      </c>
      <c r="D232">
        <v>26098.25</v>
      </c>
      <c r="E232">
        <v>25938.95</v>
      </c>
      <c r="F232">
        <v>26033.75</v>
      </c>
      <c r="G232" s="2">
        <v>10.970625</v>
      </c>
      <c r="H232">
        <f t="shared" si="20"/>
        <v>159.29999999999927</v>
      </c>
      <c r="I232">
        <f t="shared" si="21"/>
        <v>116.40000000000146</v>
      </c>
      <c r="J232">
        <f t="shared" si="22"/>
        <v>42.899999999997817</v>
      </c>
      <c r="K232">
        <f t="shared" si="23"/>
        <v>51.900000000001455</v>
      </c>
    </row>
    <row r="233" spans="1:11" x14ac:dyDescent="0.25">
      <c r="A233" s="1">
        <v>45996</v>
      </c>
      <c r="B233" s="1" t="str">
        <f t="shared" si="25"/>
        <v>Fri</v>
      </c>
      <c r="C233">
        <v>25999.8</v>
      </c>
      <c r="D233">
        <v>26202.6</v>
      </c>
      <c r="E233">
        <v>25985.35</v>
      </c>
      <c r="F233">
        <v>26186.45</v>
      </c>
      <c r="G233" s="2">
        <v>10.540625</v>
      </c>
      <c r="H233">
        <f t="shared" si="20"/>
        <v>217.25</v>
      </c>
      <c r="I233">
        <f t="shared" si="21"/>
        <v>202.79999999999927</v>
      </c>
      <c r="J233">
        <f t="shared" si="22"/>
        <v>14.450000000000728</v>
      </c>
      <c r="K233">
        <f t="shared" si="23"/>
        <v>186.65000000000146</v>
      </c>
    </row>
    <row r="234" spans="1:11" x14ac:dyDescent="0.25">
      <c r="A234" s="1">
        <v>45999</v>
      </c>
      <c r="B234" s="1" t="str">
        <f t="shared" si="25"/>
        <v>Mon</v>
      </c>
      <c r="C234">
        <v>26159.8</v>
      </c>
      <c r="D234">
        <v>26178.7</v>
      </c>
      <c r="E234">
        <v>25892.25</v>
      </c>
      <c r="F234">
        <v>25960.55</v>
      </c>
      <c r="G234" s="2">
        <v>10.797499999999999</v>
      </c>
      <c r="H234">
        <f t="shared" si="20"/>
        <v>286.45000000000073</v>
      </c>
      <c r="I234">
        <f t="shared" si="21"/>
        <v>18.900000000001455</v>
      </c>
      <c r="J234">
        <f t="shared" si="22"/>
        <v>267.54999999999927</v>
      </c>
      <c r="K234">
        <f t="shared" si="23"/>
        <v>199.25</v>
      </c>
    </row>
    <row r="235" spans="1:11" x14ac:dyDescent="0.25">
      <c r="A235" s="1">
        <v>46000</v>
      </c>
      <c r="B235" s="1" t="str">
        <f t="shared" si="25"/>
        <v>Tue</v>
      </c>
      <c r="C235">
        <v>25867.1</v>
      </c>
      <c r="D235">
        <v>25923.65</v>
      </c>
      <c r="E235">
        <v>25728</v>
      </c>
      <c r="F235">
        <v>25839.65</v>
      </c>
      <c r="G235" s="2">
        <v>11.103124999999999</v>
      </c>
      <c r="H235">
        <f t="shared" si="20"/>
        <v>195.65000000000146</v>
      </c>
      <c r="I235">
        <f t="shared" si="21"/>
        <v>56.55000000000291</v>
      </c>
      <c r="J235">
        <f t="shared" si="22"/>
        <v>139.09999999999854</v>
      </c>
      <c r="K235">
        <f t="shared" si="23"/>
        <v>27.44999999999709</v>
      </c>
    </row>
    <row r="236" spans="1:11" x14ac:dyDescent="0.25">
      <c r="A236" s="1">
        <v>46001</v>
      </c>
      <c r="B236" s="1" t="str">
        <f t="shared" si="25"/>
        <v>Wed</v>
      </c>
      <c r="C236">
        <v>25864.05</v>
      </c>
      <c r="D236">
        <v>25947.65</v>
      </c>
      <c r="E236">
        <v>25734.55</v>
      </c>
      <c r="F236">
        <v>25758</v>
      </c>
      <c r="G236" s="2">
        <v>10.943750000000001</v>
      </c>
      <c r="H236">
        <f t="shared" si="20"/>
        <v>213.10000000000218</v>
      </c>
      <c r="I236">
        <f t="shared" si="21"/>
        <v>83.600000000002183</v>
      </c>
      <c r="J236">
        <f t="shared" si="22"/>
        <v>129.5</v>
      </c>
      <c r="K236">
        <f t="shared" si="23"/>
        <v>106.04999999999927</v>
      </c>
    </row>
    <row r="237" spans="1:11" x14ac:dyDescent="0.25">
      <c r="A237" s="1">
        <v>46002</v>
      </c>
      <c r="B237" s="1" t="str">
        <f t="shared" si="25"/>
        <v>Thu</v>
      </c>
      <c r="C237">
        <v>25771.4</v>
      </c>
      <c r="D237">
        <v>25922.799999999999</v>
      </c>
      <c r="E237">
        <v>25693.25</v>
      </c>
      <c r="F237">
        <v>25898.55</v>
      </c>
      <c r="G237" s="2">
        <v>10.705625</v>
      </c>
      <c r="H237">
        <f t="shared" si="20"/>
        <v>229.54999999999927</v>
      </c>
      <c r="I237">
        <f t="shared" si="21"/>
        <v>151.39999999999782</v>
      </c>
      <c r="J237">
        <f t="shared" si="22"/>
        <v>78.150000000001455</v>
      </c>
      <c r="K237">
        <f t="shared" si="23"/>
        <v>127.14999999999782</v>
      </c>
    </row>
    <row r="238" spans="1:11" x14ac:dyDescent="0.25">
      <c r="A238" s="1">
        <v>46003</v>
      </c>
      <c r="B238" s="1" t="str">
        <f t="shared" si="25"/>
        <v>Fri</v>
      </c>
      <c r="C238">
        <v>25971.200000000001</v>
      </c>
      <c r="D238">
        <v>26057.599999999999</v>
      </c>
      <c r="E238">
        <v>25938.45</v>
      </c>
      <c r="F238">
        <v>26046.95</v>
      </c>
      <c r="G238" s="2">
        <v>10.218125000000001</v>
      </c>
      <c r="H238">
        <f t="shared" si="20"/>
        <v>119.14999999999782</v>
      </c>
      <c r="I238">
        <f t="shared" si="21"/>
        <v>86.399999999997817</v>
      </c>
      <c r="J238">
        <f t="shared" si="22"/>
        <v>32.75</v>
      </c>
      <c r="K238">
        <f t="shared" si="23"/>
        <v>75.75</v>
      </c>
    </row>
    <row r="239" spans="1:11" x14ac:dyDescent="0.25">
      <c r="A239" s="1">
        <v>46006</v>
      </c>
      <c r="B239" s="1" t="str">
        <f t="shared" si="25"/>
        <v>Mon</v>
      </c>
      <c r="C239">
        <v>25930.05</v>
      </c>
      <c r="D239">
        <v>26047.15</v>
      </c>
      <c r="E239">
        <v>25904.75</v>
      </c>
      <c r="F239">
        <v>26027.3</v>
      </c>
      <c r="G239" s="2">
        <v>10.311875000000001</v>
      </c>
      <c r="H239">
        <f t="shared" si="20"/>
        <v>142.40000000000146</v>
      </c>
      <c r="I239">
        <f t="shared" si="21"/>
        <v>117.10000000000218</v>
      </c>
      <c r="J239">
        <f t="shared" si="22"/>
        <v>25.299999999999272</v>
      </c>
      <c r="K239">
        <f t="shared" si="23"/>
        <v>97.25</v>
      </c>
    </row>
    <row r="240" spans="1:11" x14ac:dyDescent="0.25">
      <c r="A240" s="1">
        <v>46007</v>
      </c>
      <c r="B240" s="1" t="str">
        <f t="shared" si="25"/>
        <v>Tue</v>
      </c>
      <c r="C240">
        <v>25951.5</v>
      </c>
      <c r="D240">
        <v>25980.75</v>
      </c>
      <c r="E240">
        <v>25834.35</v>
      </c>
      <c r="F240">
        <v>25860.1</v>
      </c>
      <c r="G240" s="2">
        <v>10.100000000000001</v>
      </c>
      <c r="H240">
        <f t="shared" si="20"/>
        <v>146.40000000000146</v>
      </c>
      <c r="I240">
        <f t="shared" si="21"/>
        <v>29.25</v>
      </c>
      <c r="J240">
        <f t="shared" si="22"/>
        <v>117.15000000000146</v>
      </c>
      <c r="K240">
        <f t="shared" si="23"/>
        <v>91.400000000001455</v>
      </c>
    </row>
    <row r="241" spans="1:11" x14ac:dyDescent="0.25">
      <c r="A241" s="1">
        <v>46008</v>
      </c>
      <c r="B241" s="1" t="str">
        <f t="shared" si="25"/>
        <v>Wed</v>
      </c>
      <c r="C241">
        <v>25902.400000000001</v>
      </c>
      <c r="D241">
        <v>25929.15</v>
      </c>
      <c r="E241">
        <v>25770.35</v>
      </c>
      <c r="F241">
        <v>25818.55</v>
      </c>
      <c r="G241" s="2">
        <v>9.890625</v>
      </c>
      <c r="H241">
        <f t="shared" si="20"/>
        <v>158.80000000000291</v>
      </c>
      <c r="I241">
        <f t="shared" si="21"/>
        <v>26.75</v>
      </c>
      <c r="J241">
        <f t="shared" si="22"/>
        <v>132.05000000000291</v>
      </c>
      <c r="K241">
        <f t="shared" si="23"/>
        <v>83.850000000002183</v>
      </c>
    </row>
    <row r="242" spans="1:11" x14ac:dyDescent="0.25">
      <c r="A242" s="1">
        <v>46009</v>
      </c>
      <c r="B242" s="1" t="str">
        <f t="shared" si="25"/>
        <v>Thu</v>
      </c>
      <c r="C242">
        <v>25764.7</v>
      </c>
      <c r="D242">
        <v>25902.35</v>
      </c>
      <c r="E242">
        <v>25726.3</v>
      </c>
      <c r="F242">
        <v>25815.55</v>
      </c>
      <c r="G242" s="2">
        <v>9.7768750000000004</v>
      </c>
      <c r="H242">
        <f t="shared" si="20"/>
        <v>176.04999999999927</v>
      </c>
      <c r="I242">
        <f t="shared" si="21"/>
        <v>137.64999999999782</v>
      </c>
      <c r="J242">
        <f t="shared" si="22"/>
        <v>38.400000000001455</v>
      </c>
      <c r="K242">
        <f t="shared" si="23"/>
        <v>50.849999999998545</v>
      </c>
    </row>
    <row r="243" spans="1:11" x14ac:dyDescent="0.25">
      <c r="A243" s="1">
        <v>46010</v>
      </c>
      <c r="B243" s="1" t="str">
        <f t="shared" si="25"/>
        <v>Fri</v>
      </c>
      <c r="C243">
        <v>25911.5</v>
      </c>
      <c r="D243">
        <v>25993.35</v>
      </c>
      <c r="E243">
        <v>25880.45</v>
      </c>
      <c r="F243">
        <v>25966.400000000001</v>
      </c>
      <c r="G243" s="2">
        <v>9.7424999999999997</v>
      </c>
      <c r="H243">
        <f t="shared" si="20"/>
        <v>112.89999999999782</v>
      </c>
      <c r="I243">
        <f t="shared" si="21"/>
        <v>81.849999999998545</v>
      </c>
      <c r="J243">
        <f t="shared" si="22"/>
        <v>31.049999999999272</v>
      </c>
      <c r="K243">
        <f t="shared" si="23"/>
        <v>54.900000000001455</v>
      </c>
    </row>
    <row r="244" spans="1:11" x14ac:dyDescent="0.25">
      <c r="A244" s="1">
        <v>46013</v>
      </c>
      <c r="B244" s="1" t="str">
        <f t="shared" si="25"/>
        <v>Mon</v>
      </c>
      <c r="C244">
        <v>26055.85</v>
      </c>
      <c r="D244">
        <v>26180.7</v>
      </c>
      <c r="E244">
        <v>26047.8</v>
      </c>
      <c r="F244">
        <v>26172.400000000001</v>
      </c>
      <c r="G244" s="2">
        <v>9.4906250000000014</v>
      </c>
      <c r="H244">
        <f t="shared" si="20"/>
        <v>132.90000000000146</v>
      </c>
      <c r="I244">
        <f t="shared" si="21"/>
        <v>124.85000000000218</v>
      </c>
      <c r="J244">
        <f t="shared" si="22"/>
        <v>8.0499999999992724</v>
      </c>
      <c r="K244">
        <f t="shared" si="23"/>
        <v>116.55000000000291</v>
      </c>
    </row>
    <row r="245" spans="1:11" x14ac:dyDescent="0.25">
      <c r="A245" s="1">
        <v>46014</v>
      </c>
      <c r="B245" s="1" t="str">
        <f t="shared" si="25"/>
        <v>Tue</v>
      </c>
      <c r="C245">
        <v>26205.200000000001</v>
      </c>
      <c r="D245">
        <v>26233.55</v>
      </c>
      <c r="E245">
        <v>26119.05</v>
      </c>
      <c r="F245">
        <v>26177.15</v>
      </c>
      <c r="G245" s="2">
        <v>9.5406250000000004</v>
      </c>
      <c r="H245">
        <f t="shared" si="20"/>
        <v>114.5</v>
      </c>
      <c r="I245">
        <f t="shared" si="21"/>
        <v>28.349999999998545</v>
      </c>
      <c r="J245">
        <f t="shared" si="22"/>
        <v>86.150000000001455</v>
      </c>
      <c r="K245">
        <f t="shared" si="23"/>
        <v>28.049999999999272</v>
      </c>
    </row>
    <row r="246" spans="1:11" x14ac:dyDescent="0.25">
      <c r="A246" s="1">
        <v>46015</v>
      </c>
      <c r="B246" s="1" t="str">
        <f t="shared" si="25"/>
        <v>Wed</v>
      </c>
      <c r="C246">
        <v>26170.65</v>
      </c>
      <c r="D246">
        <v>26236.400000000001</v>
      </c>
      <c r="E246">
        <v>26123</v>
      </c>
      <c r="F246">
        <v>26142.1</v>
      </c>
      <c r="G246" s="2">
        <v>9.2824999999999989</v>
      </c>
      <c r="H246">
        <f t="shared" si="20"/>
        <v>113.40000000000146</v>
      </c>
      <c r="I246">
        <f t="shared" si="21"/>
        <v>65.75</v>
      </c>
      <c r="J246">
        <f t="shared" si="22"/>
        <v>47.650000000001455</v>
      </c>
      <c r="K246">
        <f t="shared" si="23"/>
        <v>28.55000000000291</v>
      </c>
    </row>
    <row r="247" spans="1:11" x14ac:dyDescent="0.25">
      <c r="A247" s="1">
        <v>46017</v>
      </c>
      <c r="B247" s="1" t="str">
        <f t="shared" si="25"/>
        <v>Fri</v>
      </c>
      <c r="C247">
        <v>26121.25</v>
      </c>
      <c r="D247">
        <v>26144.2</v>
      </c>
      <c r="E247">
        <v>26008.6</v>
      </c>
      <c r="F247">
        <v>26042.3</v>
      </c>
      <c r="G247" s="2">
        <v>9.1887500000000006</v>
      </c>
      <c r="H247">
        <f t="shared" si="20"/>
        <v>135.60000000000218</v>
      </c>
      <c r="I247">
        <f t="shared" si="21"/>
        <v>22.950000000000728</v>
      </c>
      <c r="J247">
        <f t="shared" si="22"/>
        <v>112.65000000000146</v>
      </c>
      <c r="K247">
        <f t="shared" si="23"/>
        <v>78.950000000000728</v>
      </c>
    </row>
    <row r="248" spans="1:11" x14ac:dyDescent="0.25">
      <c r="A248" s="1">
        <v>46020</v>
      </c>
      <c r="B248" s="1" t="str">
        <f t="shared" si="25"/>
        <v>Mon</v>
      </c>
      <c r="C248">
        <v>26063.35</v>
      </c>
      <c r="D248">
        <v>26106.799999999999</v>
      </c>
      <c r="E248">
        <v>25920.3</v>
      </c>
      <c r="F248">
        <v>25942.1</v>
      </c>
      <c r="G248" s="2">
        <v>9.421875</v>
      </c>
      <c r="H248">
        <f t="shared" si="20"/>
        <v>186.5</v>
      </c>
      <c r="I248">
        <f t="shared" si="21"/>
        <v>43.450000000000728</v>
      </c>
      <c r="J248">
        <f t="shared" si="22"/>
        <v>143.04999999999927</v>
      </c>
      <c r="K248">
        <f t="shared" si="23"/>
        <v>121.25</v>
      </c>
    </row>
    <row r="249" spans="1:11" x14ac:dyDescent="0.25">
      <c r="A249" s="1">
        <v>46021</v>
      </c>
      <c r="B249" s="1" t="str">
        <f t="shared" si="25"/>
        <v>Tue</v>
      </c>
      <c r="C249">
        <v>25940.9</v>
      </c>
      <c r="D249">
        <v>25976.75</v>
      </c>
      <c r="E249">
        <v>25878</v>
      </c>
      <c r="F249">
        <v>25938.85</v>
      </c>
      <c r="G249" s="2">
        <v>9.7437500000000004</v>
      </c>
      <c r="H249">
        <f t="shared" si="20"/>
        <v>98.75</v>
      </c>
      <c r="I249">
        <f t="shared" si="21"/>
        <v>35.849999999998545</v>
      </c>
      <c r="J249">
        <f t="shared" si="22"/>
        <v>62.900000000001455</v>
      </c>
      <c r="K249">
        <f t="shared" si="23"/>
        <v>2.0500000000029104</v>
      </c>
    </row>
    <row r="250" spans="1:11" x14ac:dyDescent="0.25">
      <c r="A250" s="1">
        <v>46022</v>
      </c>
      <c r="B250" s="1" t="str">
        <f t="shared" si="25"/>
        <v>Wed</v>
      </c>
      <c r="C250">
        <v>25971.05</v>
      </c>
      <c r="D250">
        <v>26187.95</v>
      </c>
      <c r="E250">
        <v>25969</v>
      </c>
      <c r="F250">
        <v>26129.599999999999</v>
      </c>
      <c r="G250" s="2">
        <v>9.5500000000000007</v>
      </c>
      <c r="H250">
        <f t="shared" si="20"/>
        <v>218.95000000000073</v>
      </c>
      <c r="I250">
        <f t="shared" si="21"/>
        <v>216.90000000000146</v>
      </c>
      <c r="J250">
        <f t="shared" si="22"/>
        <v>2.0499999999992724</v>
      </c>
      <c r="K250">
        <f t="shared" si="23"/>
        <v>158.54999999999927</v>
      </c>
    </row>
    <row r="251" spans="1:11" x14ac:dyDescent="0.25">
      <c r="A251" s="1"/>
      <c r="B251" s="1"/>
      <c r="G251" s="2"/>
    </row>
    <row r="1048576" spans="14:14" x14ac:dyDescent="0.25">
      <c r="N1048576">
        <f>+DAY(A1048576)</f>
        <v>0</v>
      </c>
    </row>
  </sheetData>
  <autoFilter ref="A1:K166" xr:uid="{959595F8-E057-4335-943D-1BAFF07DA551}">
    <sortState xmlns:xlrd2="http://schemas.microsoft.com/office/spreadsheetml/2017/richdata2" ref="A3:K165">
      <sortCondition ref="G1:G166"/>
    </sortState>
  </autoFilter>
  <sortState xmlns:xlrd2="http://schemas.microsoft.com/office/spreadsheetml/2017/richdata2" ref="A2:F251">
    <sortCondition ref="A1:A2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0189-A8C7-41E0-8735-47CED85C16B7}">
  <dimension ref="C2:Z30"/>
  <sheetViews>
    <sheetView workbookViewId="0">
      <selection activeCell="V2" sqref="V2"/>
    </sheetView>
  </sheetViews>
  <sheetFormatPr defaultRowHeight="15" x14ac:dyDescent="0.25"/>
  <cols>
    <col min="3" max="3" width="12.85546875" customWidth="1"/>
    <col min="6" max="9" width="9.85546875" customWidth="1"/>
    <col min="13" max="13" width="12.85546875" customWidth="1"/>
    <col min="21" max="21" width="12.85546875" customWidth="1"/>
  </cols>
  <sheetData>
    <row r="2" spans="3:26" x14ac:dyDescent="0.25">
      <c r="G2" s="9" t="s">
        <v>6</v>
      </c>
      <c r="H2" s="9"/>
      <c r="P2" s="9" t="s">
        <v>7</v>
      </c>
      <c r="Q2" s="9"/>
      <c r="X2" s="9" t="s">
        <v>8</v>
      </c>
      <c r="Y2" s="9"/>
    </row>
    <row r="4" spans="3:26" x14ac:dyDescent="0.25"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M4" t="s">
        <v>10</v>
      </c>
      <c r="N4" t="s">
        <v>11</v>
      </c>
      <c r="O4" t="s">
        <v>55</v>
      </c>
      <c r="P4" t="s">
        <v>56</v>
      </c>
      <c r="Q4" t="s">
        <v>57</v>
      </c>
      <c r="R4" s="3" t="s">
        <v>28</v>
      </c>
      <c r="U4" t="s">
        <v>10</v>
      </c>
      <c r="V4" t="s">
        <v>11</v>
      </c>
      <c r="W4" t="s">
        <v>55</v>
      </c>
      <c r="X4" t="s">
        <v>56</v>
      </c>
      <c r="Y4" t="s">
        <v>57</v>
      </c>
      <c r="Z4" s="3" t="s">
        <v>28</v>
      </c>
    </row>
    <row r="5" spans="3:26" x14ac:dyDescent="0.25">
      <c r="C5">
        <v>49</v>
      </c>
      <c r="D5" t="s">
        <v>18</v>
      </c>
      <c r="E5">
        <v>6</v>
      </c>
      <c r="F5">
        <v>18</v>
      </c>
      <c r="G5">
        <v>11</v>
      </c>
      <c r="H5">
        <v>11</v>
      </c>
      <c r="I5">
        <v>3</v>
      </c>
      <c r="J5">
        <v>0</v>
      </c>
      <c r="M5">
        <v>49</v>
      </c>
      <c r="N5" t="s">
        <v>18</v>
      </c>
      <c r="O5">
        <v>24</v>
      </c>
      <c r="P5">
        <v>13</v>
      </c>
      <c r="Q5">
        <v>5</v>
      </c>
      <c r="R5">
        <v>7</v>
      </c>
      <c r="U5">
        <v>49</v>
      </c>
      <c r="V5" t="s">
        <v>18</v>
      </c>
      <c r="W5">
        <v>29</v>
      </c>
      <c r="X5">
        <v>10</v>
      </c>
      <c r="Y5">
        <v>5</v>
      </c>
      <c r="Z5">
        <v>5</v>
      </c>
    </row>
    <row r="6" spans="3:26" x14ac:dyDescent="0.25">
      <c r="C6">
        <v>49</v>
      </c>
      <c r="D6" t="s">
        <v>19</v>
      </c>
      <c r="E6">
        <v>1</v>
      </c>
      <c r="F6">
        <v>13</v>
      </c>
      <c r="G6">
        <v>13</v>
      </c>
      <c r="H6">
        <v>19</v>
      </c>
      <c r="I6">
        <v>2</v>
      </c>
      <c r="J6">
        <v>1</v>
      </c>
      <c r="M6">
        <v>49</v>
      </c>
      <c r="N6" t="s">
        <v>19</v>
      </c>
      <c r="O6">
        <v>28</v>
      </c>
      <c r="P6">
        <v>13</v>
      </c>
      <c r="Q6">
        <v>4</v>
      </c>
      <c r="R6">
        <v>4</v>
      </c>
      <c r="U6">
        <v>49</v>
      </c>
      <c r="V6" t="s">
        <v>19</v>
      </c>
      <c r="W6">
        <v>16</v>
      </c>
      <c r="X6">
        <v>14</v>
      </c>
      <c r="Y6">
        <v>9</v>
      </c>
      <c r="Z6">
        <v>10</v>
      </c>
    </row>
    <row r="7" spans="3:26" x14ac:dyDescent="0.25">
      <c r="C7">
        <v>34</v>
      </c>
      <c r="D7" t="s">
        <v>20</v>
      </c>
      <c r="E7">
        <v>3</v>
      </c>
      <c r="F7">
        <v>8</v>
      </c>
      <c r="G7">
        <v>9</v>
      </c>
      <c r="H7">
        <v>8</v>
      </c>
      <c r="I7">
        <v>4</v>
      </c>
      <c r="J7">
        <v>2</v>
      </c>
      <c r="M7">
        <v>34</v>
      </c>
      <c r="N7" t="s">
        <v>20</v>
      </c>
      <c r="O7">
        <v>13</v>
      </c>
      <c r="P7">
        <v>11</v>
      </c>
      <c r="Q7">
        <v>4</v>
      </c>
      <c r="R7">
        <v>6</v>
      </c>
      <c r="U7">
        <v>34</v>
      </c>
      <c r="V7" t="s">
        <v>20</v>
      </c>
      <c r="W7">
        <v>18</v>
      </c>
      <c r="X7">
        <v>7</v>
      </c>
      <c r="Y7">
        <v>6</v>
      </c>
      <c r="Z7">
        <v>3</v>
      </c>
    </row>
    <row r="8" spans="3:26" x14ac:dyDescent="0.25">
      <c r="C8">
        <v>31</v>
      </c>
      <c r="D8" t="s">
        <v>21</v>
      </c>
      <c r="E8">
        <v>0</v>
      </c>
      <c r="F8">
        <v>6</v>
      </c>
      <c r="G8">
        <v>5</v>
      </c>
      <c r="H8">
        <v>7</v>
      </c>
      <c r="I8">
        <v>5</v>
      </c>
      <c r="J8">
        <v>8</v>
      </c>
      <c r="M8">
        <v>31</v>
      </c>
      <c r="N8" t="s">
        <v>21</v>
      </c>
      <c r="O8">
        <v>14</v>
      </c>
      <c r="P8">
        <v>5</v>
      </c>
      <c r="Q8">
        <v>6</v>
      </c>
      <c r="R8">
        <v>6</v>
      </c>
      <c r="U8">
        <v>31</v>
      </c>
      <c r="V8" t="s">
        <v>21</v>
      </c>
      <c r="W8">
        <v>12</v>
      </c>
      <c r="X8">
        <v>4</v>
      </c>
      <c r="Y8">
        <v>3</v>
      </c>
      <c r="Z8">
        <v>12</v>
      </c>
    </row>
    <row r="9" spans="3:26" x14ac:dyDescent="0.25">
      <c r="C9">
        <v>25</v>
      </c>
      <c r="D9" t="s">
        <v>22</v>
      </c>
      <c r="E9">
        <v>1</v>
      </c>
      <c r="F9">
        <v>4</v>
      </c>
      <c r="G9">
        <v>4</v>
      </c>
      <c r="H9">
        <v>4</v>
      </c>
      <c r="I9">
        <v>6</v>
      </c>
      <c r="J9">
        <v>6</v>
      </c>
      <c r="M9">
        <v>25</v>
      </c>
      <c r="N9" t="s">
        <v>22</v>
      </c>
      <c r="O9">
        <v>14</v>
      </c>
      <c r="P9">
        <v>2</v>
      </c>
      <c r="Q9">
        <v>1</v>
      </c>
      <c r="R9">
        <v>8</v>
      </c>
      <c r="U9">
        <v>25</v>
      </c>
      <c r="V9" t="s">
        <v>22</v>
      </c>
      <c r="W9">
        <v>9</v>
      </c>
      <c r="X9">
        <v>5</v>
      </c>
      <c r="Y9">
        <v>4</v>
      </c>
      <c r="Z9">
        <v>7</v>
      </c>
    </row>
    <row r="10" spans="3:26" x14ac:dyDescent="0.25">
      <c r="C10">
        <v>18</v>
      </c>
      <c r="D10" t="s">
        <v>23</v>
      </c>
      <c r="E10">
        <v>0</v>
      </c>
      <c r="F10">
        <v>4</v>
      </c>
      <c r="G10">
        <v>5</v>
      </c>
      <c r="H10">
        <v>3</v>
      </c>
      <c r="I10">
        <v>3</v>
      </c>
      <c r="J10">
        <v>3</v>
      </c>
      <c r="M10">
        <v>18</v>
      </c>
      <c r="N10" t="s">
        <v>23</v>
      </c>
      <c r="O10">
        <v>7</v>
      </c>
      <c r="P10">
        <v>5</v>
      </c>
      <c r="Q10">
        <v>2</v>
      </c>
      <c r="R10">
        <v>4</v>
      </c>
      <c r="U10">
        <v>18</v>
      </c>
      <c r="V10" t="s">
        <v>23</v>
      </c>
      <c r="W10">
        <v>6</v>
      </c>
      <c r="X10">
        <v>6</v>
      </c>
      <c r="Y10">
        <v>2</v>
      </c>
      <c r="Z10">
        <v>4</v>
      </c>
    </row>
    <row r="11" spans="3:26" x14ac:dyDescent="0.25">
      <c r="C11">
        <v>16</v>
      </c>
      <c r="D11" t="s">
        <v>24</v>
      </c>
      <c r="E11">
        <v>0</v>
      </c>
      <c r="F11">
        <v>5</v>
      </c>
      <c r="G11">
        <v>3</v>
      </c>
      <c r="H11">
        <v>2</v>
      </c>
      <c r="I11">
        <v>3</v>
      </c>
      <c r="J11">
        <v>3</v>
      </c>
      <c r="M11">
        <v>16</v>
      </c>
      <c r="N11" t="s">
        <v>24</v>
      </c>
      <c r="O11">
        <v>7</v>
      </c>
      <c r="P11">
        <v>5</v>
      </c>
      <c r="Q11">
        <v>2</v>
      </c>
      <c r="R11">
        <v>2</v>
      </c>
      <c r="U11">
        <v>16</v>
      </c>
      <c r="V11" t="s">
        <v>24</v>
      </c>
      <c r="W11">
        <v>5</v>
      </c>
      <c r="X11">
        <v>6</v>
      </c>
      <c r="Y11">
        <v>2</v>
      </c>
      <c r="Z11">
        <v>3</v>
      </c>
    </row>
    <row r="12" spans="3:26" x14ac:dyDescent="0.25">
      <c r="C12">
        <v>11</v>
      </c>
      <c r="D12" t="s">
        <v>25</v>
      </c>
      <c r="E12">
        <v>0</v>
      </c>
      <c r="F12">
        <v>0</v>
      </c>
      <c r="G12">
        <v>2</v>
      </c>
      <c r="H12">
        <v>3</v>
      </c>
      <c r="I12">
        <v>3</v>
      </c>
      <c r="J12">
        <v>3</v>
      </c>
      <c r="M12">
        <v>11</v>
      </c>
      <c r="N12" t="s">
        <v>25</v>
      </c>
      <c r="O12">
        <v>5</v>
      </c>
      <c r="P12">
        <v>0</v>
      </c>
      <c r="Q12">
        <v>2</v>
      </c>
      <c r="R12">
        <v>4</v>
      </c>
      <c r="U12">
        <v>11</v>
      </c>
      <c r="V12" t="s">
        <v>25</v>
      </c>
      <c r="W12">
        <v>3</v>
      </c>
      <c r="X12">
        <v>2</v>
      </c>
      <c r="Y12">
        <v>3</v>
      </c>
      <c r="Z12">
        <v>3</v>
      </c>
    </row>
    <row r="13" spans="3:26" x14ac:dyDescent="0.25">
      <c r="C13">
        <v>10</v>
      </c>
      <c r="D13" t="s">
        <v>26</v>
      </c>
      <c r="E13">
        <v>0</v>
      </c>
      <c r="F13">
        <v>2</v>
      </c>
      <c r="G13">
        <v>3</v>
      </c>
      <c r="H13">
        <v>1</v>
      </c>
      <c r="I13">
        <v>0</v>
      </c>
      <c r="J13">
        <v>4</v>
      </c>
      <c r="M13">
        <v>10</v>
      </c>
      <c r="N13" t="s">
        <v>26</v>
      </c>
      <c r="O13">
        <v>3</v>
      </c>
      <c r="P13">
        <v>3</v>
      </c>
      <c r="Q13">
        <v>2</v>
      </c>
      <c r="R13">
        <v>2</v>
      </c>
      <c r="U13">
        <v>10</v>
      </c>
      <c r="V13" t="s">
        <v>26</v>
      </c>
      <c r="W13">
        <v>5</v>
      </c>
      <c r="X13">
        <v>1</v>
      </c>
      <c r="Y13">
        <v>2</v>
      </c>
      <c r="Z13">
        <v>2</v>
      </c>
    </row>
    <row r="14" spans="3:26" x14ac:dyDescent="0.25">
      <c r="C14">
        <v>7</v>
      </c>
      <c r="D14" t="s">
        <v>27</v>
      </c>
      <c r="E14">
        <v>0</v>
      </c>
      <c r="F14">
        <v>1</v>
      </c>
      <c r="G14">
        <v>0</v>
      </c>
      <c r="H14">
        <v>3</v>
      </c>
      <c r="I14">
        <v>1</v>
      </c>
      <c r="J14">
        <v>2</v>
      </c>
      <c r="M14">
        <v>7</v>
      </c>
      <c r="N14" t="s">
        <v>27</v>
      </c>
      <c r="O14">
        <v>2</v>
      </c>
      <c r="P14">
        <v>0</v>
      </c>
      <c r="Q14">
        <v>0</v>
      </c>
      <c r="R14">
        <v>5</v>
      </c>
      <c r="U14">
        <v>7</v>
      </c>
      <c r="V14" t="s">
        <v>27</v>
      </c>
      <c r="W14">
        <v>4</v>
      </c>
      <c r="X14">
        <v>1</v>
      </c>
      <c r="Y14">
        <v>1</v>
      </c>
      <c r="Z14">
        <v>1</v>
      </c>
    </row>
    <row r="17" spans="3:10" x14ac:dyDescent="0.25">
      <c r="F17" s="9" t="s">
        <v>29</v>
      </c>
      <c r="G17" s="9"/>
    </row>
    <row r="20" spans="3:10" x14ac:dyDescent="0.25"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  <c r="J20" t="s">
        <v>17</v>
      </c>
    </row>
    <row r="21" spans="3:10" x14ac:dyDescent="0.25">
      <c r="C21">
        <v>49</v>
      </c>
      <c r="D21" t="s">
        <v>18</v>
      </c>
      <c r="E21">
        <v>29</v>
      </c>
      <c r="F21">
        <v>11</v>
      </c>
      <c r="G21">
        <v>7</v>
      </c>
      <c r="H21">
        <v>2</v>
      </c>
      <c r="I21">
        <v>0</v>
      </c>
      <c r="J21">
        <v>0</v>
      </c>
    </row>
    <row r="22" spans="3:10" x14ac:dyDescent="0.25">
      <c r="C22">
        <v>49</v>
      </c>
      <c r="D22" t="s">
        <v>19</v>
      </c>
      <c r="E22">
        <v>26</v>
      </c>
      <c r="F22">
        <v>11</v>
      </c>
      <c r="G22">
        <v>11</v>
      </c>
      <c r="H22">
        <v>1</v>
      </c>
      <c r="I22">
        <v>0</v>
      </c>
      <c r="J22">
        <v>0</v>
      </c>
    </row>
    <row r="23" spans="3:10" x14ac:dyDescent="0.25">
      <c r="C23">
        <v>34</v>
      </c>
      <c r="D23" t="s">
        <v>20</v>
      </c>
      <c r="E23">
        <v>19</v>
      </c>
      <c r="F23">
        <v>8</v>
      </c>
      <c r="G23">
        <v>4</v>
      </c>
      <c r="H23">
        <v>1</v>
      </c>
      <c r="I23">
        <v>1</v>
      </c>
      <c r="J23">
        <v>1</v>
      </c>
    </row>
    <row r="24" spans="3:10" x14ac:dyDescent="0.25">
      <c r="C24">
        <v>31</v>
      </c>
      <c r="D24" t="s">
        <v>21</v>
      </c>
      <c r="E24">
        <v>14</v>
      </c>
      <c r="F24">
        <v>6</v>
      </c>
      <c r="G24">
        <v>5</v>
      </c>
      <c r="H24">
        <v>1</v>
      </c>
      <c r="I24">
        <v>3</v>
      </c>
      <c r="J24">
        <v>2</v>
      </c>
    </row>
    <row r="25" spans="3:10" x14ac:dyDescent="0.25">
      <c r="C25">
        <v>25</v>
      </c>
      <c r="D25" t="s">
        <v>22</v>
      </c>
      <c r="E25">
        <v>11</v>
      </c>
      <c r="F25">
        <v>4</v>
      </c>
      <c r="G25">
        <v>3</v>
      </c>
      <c r="H25">
        <v>3</v>
      </c>
      <c r="I25">
        <v>1</v>
      </c>
      <c r="J25">
        <v>3</v>
      </c>
    </row>
    <row r="26" spans="3:10" x14ac:dyDescent="0.25">
      <c r="C26">
        <v>18</v>
      </c>
      <c r="D26" t="s">
        <v>23</v>
      </c>
      <c r="E26">
        <v>13</v>
      </c>
      <c r="F26">
        <v>2</v>
      </c>
      <c r="G26">
        <v>2</v>
      </c>
      <c r="H26">
        <v>0</v>
      </c>
      <c r="I26">
        <v>0</v>
      </c>
      <c r="J26">
        <v>1</v>
      </c>
    </row>
    <row r="27" spans="3:10" x14ac:dyDescent="0.25">
      <c r="C27">
        <v>16</v>
      </c>
      <c r="D27" t="s">
        <v>24</v>
      </c>
      <c r="E27">
        <v>11</v>
      </c>
      <c r="F27">
        <v>0</v>
      </c>
      <c r="G27">
        <v>0</v>
      </c>
      <c r="H27">
        <v>4</v>
      </c>
      <c r="I27">
        <v>0</v>
      </c>
      <c r="J27">
        <v>1</v>
      </c>
    </row>
    <row r="28" spans="3:10" x14ac:dyDescent="0.25">
      <c r="C28">
        <v>11</v>
      </c>
      <c r="D28" t="s">
        <v>25</v>
      </c>
      <c r="E28">
        <v>6</v>
      </c>
      <c r="F28">
        <v>2</v>
      </c>
      <c r="G28">
        <v>0</v>
      </c>
      <c r="H28">
        <v>0</v>
      </c>
      <c r="I28">
        <v>1</v>
      </c>
      <c r="J28">
        <v>2</v>
      </c>
    </row>
    <row r="29" spans="3:10" x14ac:dyDescent="0.25">
      <c r="C29">
        <v>10</v>
      </c>
      <c r="D29" t="s">
        <v>26</v>
      </c>
      <c r="E29">
        <v>5</v>
      </c>
      <c r="F29">
        <v>3</v>
      </c>
      <c r="G29">
        <v>0</v>
      </c>
      <c r="H29">
        <v>0</v>
      </c>
      <c r="I29">
        <v>1</v>
      </c>
      <c r="J29">
        <v>1</v>
      </c>
    </row>
    <row r="30" spans="3:10" x14ac:dyDescent="0.25">
      <c r="C30">
        <v>7</v>
      </c>
      <c r="D30" t="s">
        <v>27</v>
      </c>
      <c r="E30">
        <v>3</v>
      </c>
      <c r="F30">
        <v>1</v>
      </c>
      <c r="G30">
        <v>2</v>
      </c>
      <c r="H30">
        <v>0</v>
      </c>
      <c r="I30">
        <v>0</v>
      </c>
      <c r="J30">
        <v>1</v>
      </c>
    </row>
  </sheetData>
  <mergeCells count="4">
    <mergeCell ref="F17:G17"/>
    <mergeCell ref="G2:H2"/>
    <mergeCell ref="P2:Q2"/>
    <mergeCell ref="X2:Y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8584B-AF59-459F-A991-F79173428508}">
  <dimension ref="A1:L34"/>
  <sheetViews>
    <sheetView showGridLines="0" tabSelected="1" zoomScaleNormal="100" workbookViewId="0">
      <selection activeCell="S21" sqref="S21"/>
    </sheetView>
  </sheetViews>
  <sheetFormatPr defaultRowHeight="15" x14ac:dyDescent="0.25"/>
  <cols>
    <col min="1" max="1" width="14.42578125" customWidth="1"/>
    <col min="2" max="2" width="14.85546875" bestFit="1" customWidth="1"/>
    <col min="3" max="3" width="20.28515625" bestFit="1" customWidth="1"/>
    <col min="4" max="4" width="22.85546875" bestFit="1" customWidth="1"/>
    <col min="5" max="5" width="12.85546875" customWidth="1"/>
  </cols>
  <sheetData>
    <row r="1" spans="1:5" x14ac:dyDescent="0.25">
      <c r="A1" s="4" t="s">
        <v>54</v>
      </c>
      <c r="B1" t="s">
        <v>51</v>
      </c>
    </row>
    <row r="3" spans="1:5" x14ac:dyDescent="0.25">
      <c r="A3" s="4" t="s">
        <v>53</v>
      </c>
      <c r="B3" t="s">
        <v>47</v>
      </c>
      <c r="C3" t="s">
        <v>48</v>
      </c>
      <c r="D3" t="s">
        <v>49</v>
      </c>
      <c r="E3" t="s">
        <v>50</v>
      </c>
    </row>
    <row r="4" spans="1:5" x14ac:dyDescent="0.25">
      <c r="A4" s="5" t="s">
        <v>35</v>
      </c>
      <c r="B4" s="7">
        <v>23366.395652173916</v>
      </c>
      <c r="C4" s="6">
        <v>248.87173913043443</v>
      </c>
      <c r="D4" s="6">
        <v>130.49347826086949</v>
      </c>
      <c r="E4" s="2">
        <v>15.835570652173915</v>
      </c>
    </row>
    <row r="5" spans="1:5" x14ac:dyDescent="0.25">
      <c r="A5" s="5" t="s">
        <v>36</v>
      </c>
      <c r="B5" s="7">
        <v>23060.9375</v>
      </c>
      <c r="C5" s="6">
        <v>235.53499999999968</v>
      </c>
      <c r="D5" s="6">
        <v>108.44000000000014</v>
      </c>
      <c r="E5" s="2">
        <v>14.544999999999998</v>
      </c>
    </row>
    <row r="6" spans="1:5" x14ac:dyDescent="0.25">
      <c r="A6" s="5" t="s">
        <v>37</v>
      </c>
      <c r="B6" s="7">
        <v>22851.536842105263</v>
      </c>
      <c r="C6" s="6">
        <v>235.63421052631574</v>
      </c>
      <c r="D6" s="6">
        <v>124.15789473684211</v>
      </c>
      <c r="E6" s="2">
        <v>13.46065789473684</v>
      </c>
    </row>
    <row r="7" spans="1:5" x14ac:dyDescent="0.25">
      <c r="A7" s="5" t="s">
        <v>38</v>
      </c>
      <c r="B7" s="7">
        <v>23531.663157894738</v>
      </c>
      <c r="C7" s="6">
        <v>281.2473684210525</v>
      </c>
      <c r="D7" s="6">
        <v>146.05789473684163</v>
      </c>
      <c r="E7" s="2">
        <v>16.61101973684211</v>
      </c>
    </row>
    <row r="8" spans="1:5" x14ac:dyDescent="0.25">
      <c r="A8" s="5" t="s">
        <v>39</v>
      </c>
      <c r="B8" s="7">
        <v>24676.440476190481</v>
      </c>
      <c r="C8" s="6">
        <v>272.23095238095249</v>
      </c>
      <c r="D8" s="6">
        <v>143.16904761904811</v>
      </c>
      <c r="E8" s="2">
        <v>18.033869047619046</v>
      </c>
    </row>
    <row r="9" spans="1:5" x14ac:dyDescent="0.25">
      <c r="A9" s="5" t="s">
        <v>40</v>
      </c>
      <c r="B9" s="7">
        <v>25003.397619047617</v>
      </c>
      <c r="C9" s="6">
        <v>227.83571428571355</v>
      </c>
      <c r="D9" s="6">
        <v>132.72619047619031</v>
      </c>
      <c r="E9" s="2">
        <v>14.43404761904762</v>
      </c>
    </row>
    <row r="10" spans="1:5" x14ac:dyDescent="0.25">
      <c r="A10" s="5" t="s">
        <v>41</v>
      </c>
      <c r="B10" s="7">
        <v>25164.891304347828</v>
      </c>
      <c r="C10" s="6">
        <v>177.04782608695646</v>
      </c>
      <c r="D10" s="6">
        <v>97.297826086956462</v>
      </c>
      <c r="E10" s="2">
        <v>11.675543478260868</v>
      </c>
    </row>
    <row r="11" spans="1:5" x14ac:dyDescent="0.25">
      <c r="A11" s="5" t="s">
        <v>42</v>
      </c>
      <c r="B11" s="7">
        <v>24698.102631578946</v>
      </c>
      <c r="C11" s="6">
        <v>183.06052631578956</v>
      </c>
      <c r="D11" s="6">
        <v>106.4263157894738</v>
      </c>
      <c r="E11" s="2">
        <v>11.885065789473684</v>
      </c>
    </row>
    <row r="12" spans="1:5" x14ac:dyDescent="0.25">
      <c r="A12" s="5" t="s">
        <v>43</v>
      </c>
      <c r="B12" s="7">
        <v>24942.674999999999</v>
      </c>
      <c r="C12" s="6">
        <v>160.6136363636362</v>
      </c>
      <c r="D12" s="6">
        <v>82.661363636363603</v>
      </c>
      <c r="E12" s="2">
        <v>10.65909090909091</v>
      </c>
    </row>
    <row r="13" spans="1:5" x14ac:dyDescent="0.25">
      <c r="A13" s="5" t="s">
        <v>44</v>
      </c>
      <c r="B13" s="7">
        <v>25494.083333333332</v>
      </c>
      <c r="C13" s="6">
        <v>194.97619047619099</v>
      </c>
      <c r="D13" s="6">
        <v>108.29047619047613</v>
      </c>
      <c r="E13" s="2">
        <v>10.999821428571428</v>
      </c>
    </row>
    <row r="14" spans="1:5" x14ac:dyDescent="0.25">
      <c r="A14" s="5" t="s">
        <v>45</v>
      </c>
      <c r="B14" s="7">
        <v>25894.834210526318</v>
      </c>
      <c r="C14" s="6">
        <v>190.18684210526294</v>
      </c>
      <c r="D14" s="6">
        <v>97.247368421052286</v>
      </c>
      <c r="E14" s="2">
        <v>12.192401315789475</v>
      </c>
    </row>
    <row r="15" spans="1:5" x14ac:dyDescent="0.25">
      <c r="A15" s="5" t="s">
        <v>46</v>
      </c>
      <c r="B15" s="7">
        <v>25997.738636363632</v>
      </c>
      <c r="C15" s="6">
        <v>167.79090909090948</v>
      </c>
      <c r="D15" s="6">
        <v>86.868181818182251</v>
      </c>
      <c r="E15" s="2">
        <v>10.249829545454546</v>
      </c>
    </row>
    <row r="16" spans="1:5" x14ac:dyDescent="0.25">
      <c r="A16" s="5" t="s">
        <v>32</v>
      </c>
      <c r="B16" s="2">
        <v>24575.608032128501</v>
      </c>
      <c r="C16" s="2">
        <v>213.81566265060232</v>
      </c>
      <c r="D16" s="2">
        <v>113.29096385542169</v>
      </c>
      <c r="E16" s="2">
        <v>13.354651104417668</v>
      </c>
    </row>
    <row r="20" spans="1:3" x14ac:dyDescent="0.25">
      <c r="A20" s="4" t="s">
        <v>53</v>
      </c>
      <c r="B20" t="s">
        <v>50</v>
      </c>
      <c r="C20" t="s">
        <v>52</v>
      </c>
    </row>
    <row r="21" spans="1:3" x14ac:dyDescent="0.25">
      <c r="A21" s="5" t="s">
        <v>38</v>
      </c>
      <c r="B21" s="6">
        <v>16.61101973684211</v>
      </c>
      <c r="C21" s="6">
        <v>281.2473684210525</v>
      </c>
    </row>
    <row r="22" spans="1:3" x14ac:dyDescent="0.25">
      <c r="A22" s="5" t="s">
        <v>39</v>
      </c>
      <c r="B22" s="6">
        <v>18.033869047619046</v>
      </c>
      <c r="C22" s="6">
        <v>272.23095238095249</v>
      </c>
    </row>
    <row r="23" spans="1:3" x14ac:dyDescent="0.25">
      <c r="A23" s="5" t="s">
        <v>35</v>
      </c>
      <c r="B23" s="6">
        <v>15.835570652173915</v>
      </c>
      <c r="C23" s="6">
        <v>248.87173913043443</v>
      </c>
    </row>
    <row r="24" spans="1:3" x14ac:dyDescent="0.25">
      <c r="A24" s="5" t="s">
        <v>37</v>
      </c>
      <c r="B24" s="6">
        <v>13.46065789473684</v>
      </c>
      <c r="C24" s="6">
        <v>235.63421052631574</v>
      </c>
    </row>
    <row r="25" spans="1:3" x14ac:dyDescent="0.25">
      <c r="A25" s="5" t="s">
        <v>36</v>
      </c>
      <c r="B25" s="6">
        <v>14.544999999999998</v>
      </c>
      <c r="C25" s="6">
        <v>235.53499999999968</v>
      </c>
    </row>
    <row r="26" spans="1:3" x14ac:dyDescent="0.25">
      <c r="A26" s="5" t="s">
        <v>40</v>
      </c>
      <c r="B26" s="6">
        <v>14.43404761904762</v>
      </c>
      <c r="C26" s="6">
        <v>227.83571428571355</v>
      </c>
    </row>
    <row r="27" spans="1:3" x14ac:dyDescent="0.25">
      <c r="A27" s="5" t="s">
        <v>44</v>
      </c>
      <c r="B27" s="6">
        <v>10.999821428571428</v>
      </c>
      <c r="C27" s="6">
        <v>194.97619047619099</v>
      </c>
    </row>
    <row r="28" spans="1:3" x14ac:dyDescent="0.25">
      <c r="A28" s="5" t="s">
        <v>45</v>
      </c>
      <c r="B28" s="6">
        <v>12.192401315789475</v>
      </c>
      <c r="C28" s="6">
        <v>190.18684210526294</v>
      </c>
    </row>
    <row r="29" spans="1:3" x14ac:dyDescent="0.25">
      <c r="A29" s="5" t="s">
        <v>42</v>
      </c>
      <c r="B29" s="6">
        <v>11.885065789473684</v>
      </c>
      <c r="C29" s="6">
        <v>183.06052631578956</v>
      </c>
    </row>
    <row r="30" spans="1:3" x14ac:dyDescent="0.25">
      <c r="A30" s="5" t="s">
        <v>41</v>
      </c>
      <c r="B30" s="6">
        <v>11.675543478260868</v>
      </c>
      <c r="C30" s="6">
        <v>177.04782608695646</v>
      </c>
    </row>
    <row r="31" spans="1:3" x14ac:dyDescent="0.25">
      <c r="A31" s="5" t="s">
        <v>46</v>
      </c>
      <c r="B31" s="6">
        <v>10.249829545454546</v>
      </c>
      <c r="C31" s="6">
        <v>167.79090909090948</v>
      </c>
    </row>
    <row r="32" spans="1:3" x14ac:dyDescent="0.25">
      <c r="A32" s="5" t="s">
        <v>43</v>
      </c>
      <c r="B32" s="6">
        <v>10.65909090909091</v>
      </c>
      <c r="C32" s="6">
        <v>160.6136363636362</v>
      </c>
    </row>
    <row r="33" spans="1:12" x14ac:dyDescent="0.25">
      <c r="A33" s="5" t="s">
        <v>32</v>
      </c>
      <c r="B33" s="2">
        <v>13.354651104417668</v>
      </c>
      <c r="C33">
        <v>213.81566265060232</v>
      </c>
    </row>
    <row r="34" spans="1:12" x14ac:dyDescent="0.25">
      <c r="F34" s="8" t="s">
        <v>58</v>
      </c>
      <c r="G34" s="8"/>
      <c r="H34" s="8"/>
      <c r="I34" s="8"/>
      <c r="J34" s="8"/>
      <c r="K34" s="8"/>
      <c r="L34" s="8"/>
    </row>
  </sheetData>
  <mergeCells count="1">
    <mergeCell ref="F34:L34"/>
  </mergeCells>
  <conditionalFormatting sqref="C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5 C4 C6 C7 C8 C9 C10 C11 C12 C13 C14 C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21:B3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{7C150B29-35B2-4019-BB5A-56D4F2257878}</x14:id>
        </ext>
      </extLst>
    </cfRule>
  </conditionalFormatting>
  <pageMargins left="0.7" right="0.7" top="0.75" bottom="0.75" header="0.3" footer="0.3"/>
  <pageSetup paperSize="9" orientation="portrait" r:id="rId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C150B29-35B2-4019-BB5A-56D4F22578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B21:B32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Data</vt:lpstr>
      <vt:lpstr>Day_wise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 Jain</cp:lastModifiedBy>
  <dcterms:created xsi:type="dcterms:W3CDTF">2026-01-09T17:52:13Z</dcterms:created>
  <dcterms:modified xsi:type="dcterms:W3CDTF">2026-01-17T08:11:50Z</dcterms:modified>
</cp:coreProperties>
</file>